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ke\Desktop\US_HOUSING_MARKET_ANALYSIS\"/>
    </mc:Choice>
  </mc:AlternateContent>
  <xr:revisionPtr revIDLastSave="0" documentId="8_{D6F6DD74-C271-48AB-B84A-B19F2301D2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come_Clean" sheetId="3" r:id="rId1"/>
    <sheet name="Metro_Crosswalk" sheetId="4" r:id="rId2"/>
    <sheet name="Census_Metro_List" sheetId="5" r:id="rId3"/>
    <sheet name="Census_Unmatched" sheetId="6" r:id="rId4"/>
  </sheets>
  <definedNames>
    <definedName name="ExternalData_1" localSheetId="0" hidden="1">Income_Clean!$A$1:$C$394</definedName>
  </definedNames>
  <calcPr calcId="191029"/>
</workbook>
</file>

<file path=xl/calcChain.xml><?xml version="1.0" encoding="utf-8"?>
<calcChain xmlns="http://schemas.openxmlformats.org/spreadsheetml/2006/main">
  <c r="F895" i="4" l="1"/>
  <c r="D895" i="4"/>
  <c r="E895" i="4" s="1"/>
  <c r="G895" i="4" s="1"/>
  <c r="F894" i="4"/>
  <c r="D894" i="4"/>
  <c r="E894" i="4" s="1"/>
  <c r="G894" i="4" s="1"/>
  <c r="F893" i="4"/>
  <c r="D893" i="4"/>
  <c r="E893" i="4" s="1"/>
  <c r="G893" i="4" s="1"/>
  <c r="F892" i="4"/>
  <c r="D892" i="4"/>
  <c r="E892" i="4" s="1"/>
  <c r="G892" i="4" s="1"/>
  <c r="F891" i="4"/>
  <c r="D891" i="4"/>
  <c r="E891" i="4" s="1"/>
  <c r="G891" i="4" s="1"/>
  <c r="F890" i="4"/>
  <c r="D890" i="4"/>
  <c r="E890" i="4" s="1"/>
  <c r="G890" i="4" s="1"/>
  <c r="F889" i="4"/>
  <c r="D889" i="4"/>
  <c r="E889" i="4" s="1"/>
  <c r="G889" i="4" s="1"/>
  <c r="F888" i="4"/>
  <c r="D888" i="4"/>
  <c r="E888" i="4" s="1"/>
  <c r="G888" i="4" s="1"/>
  <c r="F887" i="4"/>
  <c r="D887" i="4"/>
  <c r="E887" i="4" s="1"/>
  <c r="G887" i="4" s="1"/>
  <c r="F886" i="4"/>
  <c r="D886" i="4"/>
  <c r="E886" i="4" s="1"/>
  <c r="G886" i="4" s="1"/>
  <c r="F885" i="4"/>
  <c r="D885" i="4"/>
  <c r="E885" i="4" s="1"/>
  <c r="G885" i="4" s="1"/>
  <c r="F884" i="4"/>
  <c r="D884" i="4"/>
  <c r="E884" i="4" s="1"/>
  <c r="G884" i="4" s="1"/>
  <c r="F883" i="4"/>
  <c r="D883" i="4"/>
  <c r="E883" i="4" s="1"/>
  <c r="G883" i="4" s="1"/>
  <c r="F882" i="4"/>
  <c r="D882" i="4"/>
  <c r="E882" i="4" s="1"/>
  <c r="G882" i="4" s="1"/>
  <c r="F881" i="4"/>
  <c r="D881" i="4"/>
  <c r="E881" i="4" s="1"/>
  <c r="G881" i="4" s="1"/>
  <c r="F880" i="4"/>
  <c r="D880" i="4"/>
  <c r="E880" i="4" s="1"/>
  <c r="G880" i="4" s="1"/>
  <c r="F879" i="4"/>
  <c r="D879" i="4"/>
  <c r="E879" i="4" s="1"/>
  <c r="G879" i="4" s="1"/>
  <c r="F878" i="4"/>
  <c r="D878" i="4"/>
  <c r="E878" i="4" s="1"/>
  <c r="G878" i="4" s="1"/>
  <c r="F877" i="4"/>
  <c r="D877" i="4"/>
  <c r="E877" i="4" s="1"/>
  <c r="G877" i="4" s="1"/>
  <c r="F876" i="4"/>
  <c r="D876" i="4"/>
  <c r="E876" i="4" s="1"/>
  <c r="G876" i="4" s="1"/>
  <c r="F875" i="4"/>
  <c r="D875" i="4"/>
  <c r="E875" i="4" s="1"/>
  <c r="G875" i="4" s="1"/>
  <c r="F874" i="4"/>
  <c r="D874" i="4"/>
  <c r="E874" i="4" s="1"/>
  <c r="G874" i="4" s="1"/>
  <c r="F873" i="4"/>
  <c r="D873" i="4"/>
  <c r="E873" i="4" s="1"/>
  <c r="G873" i="4" s="1"/>
  <c r="F872" i="4"/>
  <c r="D872" i="4"/>
  <c r="E872" i="4" s="1"/>
  <c r="G872" i="4" s="1"/>
  <c r="F871" i="4"/>
  <c r="D871" i="4"/>
  <c r="E871" i="4" s="1"/>
  <c r="G871" i="4" s="1"/>
  <c r="F870" i="4"/>
  <c r="D870" i="4"/>
  <c r="E870" i="4" s="1"/>
  <c r="G870" i="4" s="1"/>
  <c r="F869" i="4"/>
  <c r="D869" i="4"/>
  <c r="E869" i="4" s="1"/>
  <c r="G869" i="4" s="1"/>
  <c r="F868" i="4"/>
  <c r="D868" i="4"/>
  <c r="E868" i="4" s="1"/>
  <c r="G868" i="4" s="1"/>
  <c r="F867" i="4"/>
  <c r="D867" i="4"/>
  <c r="E867" i="4" s="1"/>
  <c r="G867" i="4" s="1"/>
  <c r="F866" i="4"/>
  <c r="D866" i="4"/>
  <c r="E866" i="4" s="1"/>
  <c r="G866" i="4" s="1"/>
  <c r="F865" i="4"/>
  <c r="D865" i="4"/>
  <c r="E865" i="4" s="1"/>
  <c r="G865" i="4" s="1"/>
  <c r="F864" i="4"/>
  <c r="D864" i="4"/>
  <c r="E864" i="4" s="1"/>
  <c r="G864" i="4" s="1"/>
  <c r="F863" i="4"/>
  <c r="D863" i="4"/>
  <c r="E863" i="4" s="1"/>
  <c r="G863" i="4" s="1"/>
  <c r="F862" i="4"/>
  <c r="D862" i="4"/>
  <c r="E862" i="4" s="1"/>
  <c r="G862" i="4" s="1"/>
  <c r="F861" i="4"/>
  <c r="D861" i="4"/>
  <c r="E861" i="4" s="1"/>
  <c r="G861" i="4" s="1"/>
  <c r="F860" i="4"/>
  <c r="D860" i="4"/>
  <c r="E860" i="4" s="1"/>
  <c r="G860" i="4" s="1"/>
  <c r="F859" i="4"/>
  <c r="D859" i="4"/>
  <c r="E859" i="4" s="1"/>
  <c r="G859" i="4" s="1"/>
  <c r="F858" i="4"/>
  <c r="D858" i="4"/>
  <c r="E858" i="4" s="1"/>
  <c r="G858" i="4" s="1"/>
  <c r="F857" i="4"/>
  <c r="D857" i="4"/>
  <c r="E857" i="4" s="1"/>
  <c r="G857" i="4" s="1"/>
  <c r="F856" i="4"/>
  <c r="D856" i="4"/>
  <c r="E856" i="4" s="1"/>
  <c r="G856" i="4" s="1"/>
  <c r="F855" i="4"/>
  <c r="D855" i="4"/>
  <c r="E855" i="4" s="1"/>
  <c r="G855" i="4" s="1"/>
  <c r="F854" i="4"/>
  <c r="D854" i="4"/>
  <c r="E854" i="4" s="1"/>
  <c r="G854" i="4" s="1"/>
  <c r="F853" i="4"/>
  <c r="D853" i="4"/>
  <c r="E853" i="4" s="1"/>
  <c r="G853" i="4" s="1"/>
  <c r="F852" i="4"/>
  <c r="D852" i="4"/>
  <c r="E852" i="4" s="1"/>
  <c r="G852" i="4" s="1"/>
  <c r="F851" i="4"/>
  <c r="D851" i="4"/>
  <c r="E851" i="4" s="1"/>
  <c r="G851" i="4" s="1"/>
  <c r="F850" i="4"/>
  <c r="D850" i="4"/>
  <c r="E850" i="4" s="1"/>
  <c r="G850" i="4" s="1"/>
  <c r="F849" i="4"/>
  <c r="D849" i="4"/>
  <c r="E849" i="4" s="1"/>
  <c r="G849" i="4" s="1"/>
  <c r="F848" i="4"/>
  <c r="D848" i="4"/>
  <c r="E848" i="4" s="1"/>
  <c r="G848" i="4" s="1"/>
  <c r="F847" i="4"/>
  <c r="D847" i="4"/>
  <c r="E847" i="4" s="1"/>
  <c r="G847" i="4" s="1"/>
  <c r="F846" i="4"/>
  <c r="D846" i="4"/>
  <c r="E846" i="4" s="1"/>
  <c r="G846" i="4" s="1"/>
  <c r="F845" i="4"/>
  <c r="D845" i="4"/>
  <c r="E845" i="4" s="1"/>
  <c r="G845" i="4" s="1"/>
  <c r="F844" i="4"/>
  <c r="D844" i="4"/>
  <c r="E844" i="4" s="1"/>
  <c r="G844" i="4" s="1"/>
  <c r="F843" i="4"/>
  <c r="D843" i="4"/>
  <c r="E843" i="4" s="1"/>
  <c r="G843" i="4" s="1"/>
  <c r="F842" i="4"/>
  <c r="D842" i="4"/>
  <c r="E842" i="4" s="1"/>
  <c r="G842" i="4" s="1"/>
  <c r="F841" i="4"/>
  <c r="D841" i="4"/>
  <c r="E841" i="4" s="1"/>
  <c r="G841" i="4" s="1"/>
  <c r="F840" i="4"/>
  <c r="D840" i="4"/>
  <c r="E840" i="4" s="1"/>
  <c r="G840" i="4" s="1"/>
  <c r="F839" i="4"/>
  <c r="D839" i="4"/>
  <c r="E839" i="4" s="1"/>
  <c r="G839" i="4" s="1"/>
  <c r="F838" i="4"/>
  <c r="D838" i="4"/>
  <c r="E838" i="4" s="1"/>
  <c r="G838" i="4" s="1"/>
  <c r="F837" i="4"/>
  <c r="D837" i="4"/>
  <c r="E837" i="4" s="1"/>
  <c r="G837" i="4" s="1"/>
  <c r="F836" i="4"/>
  <c r="D836" i="4"/>
  <c r="E836" i="4" s="1"/>
  <c r="G836" i="4" s="1"/>
  <c r="F835" i="4"/>
  <c r="D835" i="4"/>
  <c r="E835" i="4" s="1"/>
  <c r="G835" i="4" s="1"/>
  <c r="F834" i="4"/>
  <c r="D834" i="4"/>
  <c r="E834" i="4" s="1"/>
  <c r="G834" i="4" s="1"/>
  <c r="F833" i="4"/>
  <c r="D833" i="4"/>
  <c r="E833" i="4" s="1"/>
  <c r="G833" i="4" s="1"/>
  <c r="F832" i="4"/>
  <c r="D832" i="4"/>
  <c r="E832" i="4" s="1"/>
  <c r="G832" i="4" s="1"/>
  <c r="F831" i="4"/>
  <c r="D831" i="4"/>
  <c r="E831" i="4" s="1"/>
  <c r="G831" i="4" s="1"/>
  <c r="F830" i="4"/>
  <c r="D830" i="4"/>
  <c r="E830" i="4" s="1"/>
  <c r="G830" i="4" s="1"/>
  <c r="F829" i="4"/>
  <c r="D829" i="4"/>
  <c r="E829" i="4" s="1"/>
  <c r="G829" i="4" s="1"/>
  <c r="F828" i="4"/>
  <c r="D828" i="4"/>
  <c r="E828" i="4" s="1"/>
  <c r="G828" i="4" s="1"/>
  <c r="F827" i="4"/>
  <c r="D827" i="4"/>
  <c r="E827" i="4" s="1"/>
  <c r="G827" i="4" s="1"/>
  <c r="F826" i="4"/>
  <c r="D826" i="4"/>
  <c r="E826" i="4" s="1"/>
  <c r="G826" i="4" s="1"/>
  <c r="F825" i="4"/>
  <c r="D825" i="4"/>
  <c r="E825" i="4" s="1"/>
  <c r="G825" i="4" s="1"/>
  <c r="F824" i="4"/>
  <c r="D824" i="4"/>
  <c r="E824" i="4" s="1"/>
  <c r="G824" i="4" s="1"/>
  <c r="F823" i="4"/>
  <c r="D823" i="4"/>
  <c r="E823" i="4" s="1"/>
  <c r="G823" i="4" s="1"/>
  <c r="F822" i="4"/>
  <c r="D822" i="4"/>
  <c r="E822" i="4" s="1"/>
  <c r="G822" i="4" s="1"/>
  <c r="F821" i="4"/>
  <c r="D821" i="4"/>
  <c r="E821" i="4" s="1"/>
  <c r="G821" i="4" s="1"/>
  <c r="F820" i="4"/>
  <c r="D820" i="4"/>
  <c r="E820" i="4" s="1"/>
  <c r="G820" i="4" s="1"/>
  <c r="F819" i="4"/>
  <c r="D819" i="4"/>
  <c r="E819" i="4" s="1"/>
  <c r="G819" i="4" s="1"/>
  <c r="F818" i="4"/>
  <c r="D818" i="4"/>
  <c r="E818" i="4" s="1"/>
  <c r="G818" i="4" s="1"/>
  <c r="F817" i="4"/>
  <c r="D817" i="4"/>
  <c r="E817" i="4" s="1"/>
  <c r="G817" i="4" s="1"/>
  <c r="F816" i="4"/>
  <c r="D816" i="4"/>
  <c r="E816" i="4" s="1"/>
  <c r="G816" i="4" s="1"/>
  <c r="F815" i="4"/>
  <c r="D815" i="4"/>
  <c r="E815" i="4" s="1"/>
  <c r="G815" i="4" s="1"/>
  <c r="F814" i="4"/>
  <c r="D814" i="4"/>
  <c r="E814" i="4" s="1"/>
  <c r="G814" i="4" s="1"/>
  <c r="F813" i="4"/>
  <c r="D813" i="4"/>
  <c r="E813" i="4" s="1"/>
  <c r="G813" i="4" s="1"/>
  <c r="F812" i="4"/>
  <c r="D812" i="4"/>
  <c r="E812" i="4" s="1"/>
  <c r="G812" i="4" s="1"/>
  <c r="F811" i="4"/>
  <c r="D811" i="4"/>
  <c r="E811" i="4" s="1"/>
  <c r="G811" i="4" s="1"/>
  <c r="F810" i="4"/>
  <c r="D810" i="4"/>
  <c r="E810" i="4" s="1"/>
  <c r="G810" i="4" s="1"/>
  <c r="F809" i="4"/>
  <c r="D809" i="4"/>
  <c r="E809" i="4" s="1"/>
  <c r="G809" i="4" s="1"/>
  <c r="F808" i="4"/>
  <c r="D808" i="4"/>
  <c r="E808" i="4" s="1"/>
  <c r="G808" i="4" s="1"/>
  <c r="F807" i="4"/>
  <c r="D807" i="4"/>
  <c r="E807" i="4" s="1"/>
  <c r="G807" i="4" s="1"/>
  <c r="F806" i="4"/>
  <c r="D806" i="4"/>
  <c r="E806" i="4" s="1"/>
  <c r="G806" i="4" s="1"/>
  <c r="F805" i="4"/>
  <c r="D805" i="4"/>
  <c r="E805" i="4" s="1"/>
  <c r="G805" i="4" s="1"/>
  <c r="F804" i="4"/>
  <c r="D804" i="4"/>
  <c r="E804" i="4" s="1"/>
  <c r="G804" i="4" s="1"/>
  <c r="F803" i="4"/>
  <c r="D803" i="4"/>
  <c r="E803" i="4" s="1"/>
  <c r="G803" i="4" s="1"/>
  <c r="F802" i="4"/>
  <c r="D802" i="4"/>
  <c r="E802" i="4" s="1"/>
  <c r="G802" i="4" s="1"/>
  <c r="F801" i="4"/>
  <c r="D801" i="4"/>
  <c r="E801" i="4" s="1"/>
  <c r="G801" i="4" s="1"/>
  <c r="F800" i="4"/>
  <c r="D800" i="4"/>
  <c r="E800" i="4" s="1"/>
  <c r="G800" i="4" s="1"/>
  <c r="F799" i="4"/>
  <c r="D799" i="4"/>
  <c r="E799" i="4" s="1"/>
  <c r="G799" i="4" s="1"/>
  <c r="F798" i="4"/>
  <c r="D798" i="4"/>
  <c r="E798" i="4" s="1"/>
  <c r="G798" i="4" s="1"/>
  <c r="F797" i="4"/>
  <c r="D797" i="4"/>
  <c r="E797" i="4" s="1"/>
  <c r="G797" i="4" s="1"/>
  <c r="F796" i="4"/>
  <c r="D796" i="4"/>
  <c r="E796" i="4" s="1"/>
  <c r="G796" i="4" s="1"/>
  <c r="F795" i="4"/>
  <c r="D795" i="4"/>
  <c r="E795" i="4" s="1"/>
  <c r="G795" i="4" s="1"/>
  <c r="F794" i="4"/>
  <c r="D794" i="4"/>
  <c r="E794" i="4" s="1"/>
  <c r="G794" i="4" s="1"/>
  <c r="F793" i="4"/>
  <c r="D793" i="4"/>
  <c r="E793" i="4" s="1"/>
  <c r="G793" i="4" s="1"/>
  <c r="F792" i="4"/>
  <c r="D792" i="4"/>
  <c r="E792" i="4" s="1"/>
  <c r="G792" i="4" s="1"/>
  <c r="F791" i="4"/>
  <c r="D791" i="4"/>
  <c r="E791" i="4" s="1"/>
  <c r="G791" i="4" s="1"/>
  <c r="F790" i="4"/>
  <c r="D790" i="4"/>
  <c r="E790" i="4" s="1"/>
  <c r="G790" i="4" s="1"/>
  <c r="F789" i="4"/>
  <c r="D789" i="4"/>
  <c r="E789" i="4" s="1"/>
  <c r="G789" i="4" s="1"/>
  <c r="F788" i="4"/>
  <c r="D788" i="4"/>
  <c r="E788" i="4" s="1"/>
  <c r="G788" i="4" s="1"/>
  <c r="F787" i="4"/>
  <c r="D787" i="4"/>
  <c r="E787" i="4" s="1"/>
  <c r="G787" i="4" s="1"/>
  <c r="F786" i="4"/>
  <c r="D786" i="4"/>
  <c r="E786" i="4" s="1"/>
  <c r="G786" i="4" s="1"/>
  <c r="F785" i="4"/>
  <c r="D785" i="4"/>
  <c r="E785" i="4" s="1"/>
  <c r="G785" i="4" s="1"/>
  <c r="F784" i="4"/>
  <c r="D784" i="4"/>
  <c r="E784" i="4" s="1"/>
  <c r="G784" i="4" s="1"/>
  <c r="F783" i="4"/>
  <c r="D783" i="4"/>
  <c r="E783" i="4" s="1"/>
  <c r="G783" i="4" s="1"/>
  <c r="F782" i="4"/>
  <c r="D782" i="4"/>
  <c r="E782" i="4" s="1"/>
  <c r="G782" i="4" s="1"/>
  <c r="F781" i="4"/>
  <c r="D781" i="4"/>
  <c r="E781" i="4" s="1"/>
  <c r="G781" i="4" s="1"/>
  <c r="F780" i="4"/>
  <c r="D780" i="4"/>
  <c r="E780" i="4" s="1"/>
  <c r="G780" i="4" s="1"/>
  <c r="F779" i="4"/>
  <c r="D779" i="4"/>
  <c r="E779" i="4" s="1"/>
  <c r="G779" i="4" s="1"/>
  <c r="F778" i="4"/>
  <c r="D778" i="4"/>
  <c r="E778" i="4" s="1"/>
  <c r="G778" i="4" s="1"/>
  <c r="F777" i="4"/>
  <c r="D777" i="4"/>
  <c r="E777" i="4" s="1"/>
  <c r="G777" i="4" s="1"/>
  <c r="F776" i="4"/>
  <c r="D776" i="4"/>
  <c r="E776" i="4" s="1"/>
  <c r="G776" i="4" s="1"/>
  <c r="F775" i="4"/>
  <c r="D775" i="4"/>
  <c r="E775" i="4" s="1"/>
  <c r="G775" i="4" s="1"/>
  <c r="F774" i="4"/>
  <c r="D774" i="4"/>
  <c r="E774" i="4" s="1"/>
  <c r="G774" i="4" s="1"/>
  <c r="F773" i="4"/>
  <c r="D773" i="4"/>
  <c r="E773" i="4" s="1"/>
  <c r="G773" i="4" s="1"/>
  <c r="F772" i="4"/>
  <c r="D772" i="4"/>
  <c r="E772" i="4" s="1"/>
  <c r="G772" i="4" s="1"/>
  <c r="F771" i="4"/>
  <c r="D771" i="4"/>
  <c r="E771" i="4" s="1"/>
  <c r="G771" i="4" s="1"/>
  <c r="F770" i="4"/>
  <c r="D770" i="4"/>
  <c r="E770" i="4" s="1"/>
  <c r="G770" i="4" s="1"/>
  <c r="F769" i="4"/>
  <c r="D769" i="4"/>
  <c r="E769" i="4" s="1"/>
  <c r="G769" i="4" s="1"/>
  <c r="F768" i="4"/>
  <c r="D768" i="4"/>
  <c r="E768" i="4" s="1"/>
  <c r="G768" i="4" s="1"/>
  <c r="F767" i="4"/>
  <c r="D767" i="4"/>
  <c r="E767" i="4" s="1"/>
  <c r="G767" i="4" s="1"/>
  <c r="F766" i="4"/>
  <c r="D766" i="4"/>
  <c r="E766" i="4" s="1"/>
  <c r="G766" i="4" s="1"/>
  <c r="F765" i="4"/>
  <c r="D765" i="4"/>
  <c r="E765" i="4" s="1"/>
  <c r="G765" i="4" s="1"/>
  <c r="F764" i="4"/>
  <c r="D764" i="4"/>
  <c r="E764" i="4" s="1"/>
  <c r="G764" i="4" s="1"/>
  <c r="F763" i="4"/>
  <c r="D763" i="4"/>
  <c r="E763" i="4" s="1"/>
  <c r="G763" i="4" s="1"/>
  <c r="F762" i="4"/>
  <c r="D762" i="4"/>
  <c r="E762" i="4" s="1"/>
  <c r="G762" i="4" s="1"/>
  <c r="F761" i="4"/>
  <c r="D761" i="4"/>
  <c r="E761" i="4" s="1"/>
  <c r="G761" i="4" s="1"/>
  <c r="F760" i="4"/>
  <c r="D760" i="4"/>
  <c r="E760" i="4" s="1"/>
  <c r="G760" i="4" s="1"/>
  <c r="F759" i="4"/>
  <c r="D759" i="4"/>
  <c r="E759" i="4" s="1"/>
  <c r="G759" i="4" s="1"/>
  <c r="F758" i="4"/>
  <c r="D758" i="4"/>
  <c r="E758" i="4" s="1"/>
  <c r="G758" i="4" s="1"/>
  <c r="F757" i="4"/>
  <c r="D757" i="4"/>
  <c r="E757" i="4" s="1"/>
  <c r="G757" i="4" s="1"/>
  <c r="F756" i="4"/>
  <c r="D756" i="4"/>
  <c r="E756" i="4" s="1"/>
  <c r="G756" i="4" s="1"/>
  <c r="F755" i="4"/>
  <c r="D755" i="4"/>
  <c r="E755" i="4" s="1"/>
  <c r="G755" i="4" s="1"/>
  <c r="F754" i="4"/>
  <c r="D754" i="4"/>
  <c r="E754" i="4" s="1"/>
  <c r="G754" i="4" s="1"/>
  <c r="F753" i="4"/>
  <c r="D753" i="4"/>
  <c r="E753" i="4" s="1"/>
  <c r="G753" i="4" s="1"/>
  <c r="F752" i="4"/>
  <c r="D752" i="4"/>
  <c r="E752" i="4" s="1"/>
  <c r="G752" i="4" s="1"/>
  <c r="F751" i="4"/>
  <c r="D751" i="4"/>
  <c r="E751" i="4" s="1"/>
  <c r="G751" i="4" s="1"/>
  <c r="F750" i="4"/>
  <c r="D750" i="4"/>
  <c r="E750" i="4" s="1"/>
  <c r="G750" i="4" s="1"/>
  <c r="F749" i="4"/>
  <c r="D749" i="4"/>
  <c r="E749" i="4" s="1"/>
  <c r="G749" i="4" s="1"/>
  <c r="F748" i="4"/>
  <c r="D748" i="4"/>
  <c r="E748" i="4" s="1"/>
  <c r="G748" i="4" s="1"/>
  <c r="F747" i="4"/>
  <c r="D747" i="4"/>
  <c r="E747" i="4" s="1"/>
  <c r="G747" i="4" s="1"/>
  <c r="F746" i="4"/>
  <c r="D746" i="4"/>
  <c r="E746" i="4" s="1"/>
  <c r="G746" i="4" s="1"/>
  <c r="F745" i="4"/>
  <c r="D745" i="4"/>
  <c r="E745" i="4" s="1"/>
  <c r="G745" i="4" s="1"/>
  <c r="F744" i="4"/>
  <c r="D744" i="4"/>
  <c r="E744" i="4" s="1"/>
  <c r="G744" i="4" s="1"/>
  <c r="F743" i="4"/>
  <c r="D743" i="4"/>
  <c r="E743" i="4" s="1"/>
  <c r="G743" i="4" s="1"/>
  <c r="F742" i="4"/>
  <c r="D742" i="4"/>
  <c r="E742" i="4" s="1"/>
  <c r="G742" i="4" s="1"/>
  <c r="F741" i="4"/>
  <c r="D741" i="4"/>
  <c r="E741" i="4" s="1"/>
  <c r="G741" i="4" s="1"/>
  <c r="F740" i="4"/>
  <c r="D740" i="4"/>
  <c r="E740" i="4" s="1"/>
  <c r="G740" i="4" s="1"/>
  <c r="F739" i="4"/>
  <c r="D739" i="4"/>
  <c r="E739" i="4" s="1"/>
  <c r="G739" i="4" s="1"/>
  <c r="F738" i="4"/>
  <c r="D738" i="4"/>
  <c r="E738" i="4" s="1"/>
  <c r="G738" i="4" s="1"/>
  <c r="F737" i="4"/>
  <c r="D737" i="4"/>
  <c r="E737" i="4" s="1"/>
  <c r="G737" i="4" s="1"/>
  <c r="F736" i="4"/>
  <c r="D736" i="4"/>
  <c r="E736" i="4" s="1"/>
  <c r="G736" i="4" s="1"/>
  <c r="F735" i="4"/>
  <c r="D735" i="4"/>
  <c r="E735" i="4" s="1"/>
  <c r="G735" i="4" s="1"/>
  <c r="F734" i="4"/>
  <c r="D734" i="4"/>
  <c r="E734" i="4" s="1"/>
  <c r="G734" i="4" s="1"/>
  <c r="F733" i="4"/>
  <c r="D733" i="4"/>
  <c r="E733" i="4" s="1"/>
  <c r="G733" i="4" s="1"/>
  <c r="F732" i="4"/>
  <c r="D732" i="4"/>
  <c r="E732" i="4" s="1"/>
  <c r="G732" i="4" s="1"/>
  <c r="F731" i="4"/>
  <c r="D731" i="4"/>
  <c r="E731" i="4" s="1"/>
  <c r="G731" i="4" s="1"/>
  <c r="F730" i="4"/>
  <c r="D730" i="4"/>
  <c r="E730" i="4" s="1"/>
  <c r="G730" i="4" s="1"/>
  <c r="F729" i="4"/>
  <c r="D729" i="4"/>
  <c r="E729" i="4" s="1"/>
  <c r="G729" i="4" s="1"/>
  <c r="F728" i="4"/>
  <c r="D728" i="4"/>
  <c r="E728" i="4" s="1"/>
  <c r="G728" i="4" s="1"/>
  <c r="F727" i="4"/>
  <c r="D727" i="4"/>
  <c r="E727" i="4" s="1"/>
  <c r="G727" i="4" s="1"/>
  <c r="F726" i="4"/>
  <c r="D726" i="4"/>
  <c r="E726" i="4" s="1"/>
  <c r="G726" i="4" s="1"/>
  <c r="F725" i="4"/>
  <c r="D725" i="4"/>
  <c r="E725" i="4" s="1"/>
  <c r="G725" i="4" s="1"/>
  <c r="F724" i="4"/>
  <c r="D724" i="4"/>
  <c r="E724" i="4" s="1"/>
  <c r="G724" i="4" s="1"/>
  <c r="F723" i="4"/>
  <c r="E723" i="4"/>
  <c r="G723" i="4" s="1"/>
  <c r="D723" i="4"/>
  <c r="F722" i="4"/>
  <c r="D722" i="4"/>
  <c r="E722" i="4" s="1"/>
  <c r="G722" i="4" s="1"/>
  <c r="F721" i="4"/>
  <c r="D721" i="4"/>
  <c r="E721" i="4" s="1"/>
  <c r="G721" i="4" s="1"/>
  <c r="F720" i="4"/>
  <c r="D720" i="4"/>
  <c r="E720" i="4" s="1"/>
  <c r="G720" i="4" s="1"/>
  <c r="F719" i="4"/>
  <c r="E719" i="4"/>
  <c r="G719" i="4" s="1"/>
  <c r="D719" i="4"/>
  <c r="F718" i="4"/>
  <c r="D718" i="4"/>
  <c r="E718" i="4" s="1"/>
  <c r="G718" i="4" s="1"/>
  <c r="F717" i="4"/>
  <c r="D717" i="4"/>
  <c r="E717" i="4" s="1"/>
  <c r="G717" i="4" s="1"/>
  <c r="F716" i="4"/>
  <c r="D716" i="4"/>
  <c r="E716" i="4" s="1"/>
  <c r="G716" i="4" s="1"/>
  <c r="F715" i="4"/>
  <c r="E715" i="4"/>
  <c r="G715" i="4" s="1"/>
  <c r="D715" i="4"/>
  <c r="F714" i="4"/>
  <c r="D714" i="4"/>
  <c r="E714" i="4" s="1"/>
  <c r="G714" i="4" s="1"/>
  <c r="F713" i="4"/>
  <c r="D713" i="4"/>
  <c r="E713" i="4" s="1"/>
  <c r="G713" i="4" s="1"/>
  <c r="F712" i="4"/>
  <c r="D712" i="4"/>
  <c r="E712" i="4" s="1"/>
  <c r="G712" i="4" s="1"/>
  <c r="F711" i="4"/>
  <c r="E711" i="4"/>
  <c r="G711" i="4" s="1"/>
  <c r="D711" i="4"/>
  <c r="F710" i="4"/>
  <c r="D710" i="4"/>
  <c r="E710" i="4" s="1"/>
  <c r="G710" i="4" s="1"/>
  <c r="F709" i="4"/>
  <c r="D709" i="4"/>
  <c r="E709" i="4" s="1"/>
  <c r="G709" i="4" s="1"/>
  <c r="F708" i="4"/>
  <c r="D708" i="4"/>
  <c r="E708" i="4" s="1"/>
  <c r="G708" i="4" s="1"/>
  <c r="F707" i="4"/>
  <c r="E707" i="4"/>
  <c r="G707" i="4" s="1"/>
  <c r="D707" i="4"/>
  <c r="F706" i="4"/>
  <c r="D706" i="4"/>
  <c r="E706" i="4" s="1"/>
  <c r="G706" i="4" s="1"/>
  <c r="F705" i="4"/>
  <c r="D705" i="4"/>
  <c r="E705" i="4" s="1"/>
  <c r="G705" i="4" s="1"/>
  <c r="F704" i="4"/>
  <c r="D704" i="4"/>
  <c r="E704" i="4" s="1"/>
  <c r="G704" i="4" s="1"/>
  <c r="F703" i="4"/>
  <c r="E703" i="4"/>
  <c r="G703" i="4" s="1"/>
  <c r="D703" i="4"/>
  <c r="F702" i="4"/>
  <c r="D702" i="4"/>
  <c r="E702" i="4" s="1"/>
  <c r="G702" i="4" s="1"/>
  <c r="F701" i="4"/>
  <c r="D701" i="4"/>
  <c r="E701" i="4" s="1"/>
  <c r="G701" i="4" s="1"/>
  <c r="F700" i="4"/>
  <c r="D700" i="4"/>
  <c r="E700" i="4" s="1"/>
  <c r="G700" i="4" s="1"/>
  <c r="F699" i="4"/>
  <c r="E699" i="4"/>
  <c r="G699" i="4" s="1"/>
  <c r="D699" i="4"/>
  <c r="F698" i="4"/>
  <c r="D698" i="4"/>
  <c r="E698" i="4" s="1"/>
  <c r="G698" i="4" s="1"/>
  <c r="F697" i="4"/>
  <c r="D697" i="4"/>
  <c r="E697" i="4" s="1"/>
  <c r="G697" i="4" s="1"/>
  <c r="F696" i="4"/>
  <c r="D696" i="4"/>
  <c r="E696" i="4" s="1"/>
  <c r="G696" i="4" s="1"/>
  <c r="F695" i="4"/>
  <c r="E695" i="4"/>
  <c r="G695" i="4" s="1"/>
  <c r="D695" i="4"/>
  <c r="F694" i="4"/>
  <c r="D694" i="4"/>
  <c r="E694" i="4" s="1"/>
  <c r="G694" i="4" s="1"/>
  <c r="F693" i="4"/>
  <c r="D693" i="4"/>
  <c r="E693" i="4" s="1"/>
  <c r="G693" i="4" s="1"/>
  <c r="F692" i="4"/>
  <c r="D692" i="4"/>
  <c r="E692" i="4" s="1"/>
  <c r="G692" i="4" s="1"/>
  <c r="F691" i="4"/>
  <c r="E691" i="4"/>
  <c r="G691" i="4" s="1"/>
  <c r="D691" i="4"/>
  <c r="F690" i="4"/>
  <c r="D690" i="4"/>
  <c r="E690" i="4" s="1"/>
  <c r="F689" i="4"/>
  <c r="D689" i="4"/>
  <c r="E689" i="4" s="1"/>
  <c r="G689" i="4" s="1"/>
  <c r="F688" i="4"/>
  <c r="D688" i="4"/>
  <c r="E688" i="4" s="1"/>
  <c r="G688" i="4" s="1"/>
  <c r="F687" i="4"/>
  <c r="E687" i="4"/>
  <c r="G687" i="4" s="1"/>
  <c r="D687" i="4"/>
  <c r="F686" i="4"/>
  <c r="D686" i="4"/>
  <c r="E686" i="4" s="1"/>
  <c r="G686" i="4" s="1"/>
  <c r="F685" i="4"/>
  <c r="D685" i="4"/>
  <c r="E685" i="4" s="1"/>
  <c r="G685" i="4" s="1"/>
  <c r="F684" i="4"/>
  <c r="D684" i="4"/>
  <c r="E684" i="4" s="1"/>
  <c r="G684" i="4" s="1"/>
  <c r="F683" i="4"/>
  <c r="E683" i="4"/>
  <c r="G683" i="4" s="1"/>
  <c r="D683" i="4"/>
  <c r="F682" i="4"/>
  <c r="D682" i="4"/>
  <c r="E682" i="4" s="1"/>
  <c r="G682" i="4" s="1"/>
  <c r="F681" i="4"/>
  <c r="D681" i="4"/>
  <c r="E681" i="4" s="1"/>
  <c r="G681" i="4" s="1"/>
  <c r="F680" i="4"/>
  <c r="D680" i="4"/>
  <c r="E680" i="4" s="1"/>
  <c r="G680" i="4" s="1"/>
  <c r="F679" i="4"/>
  <c r="E679" i="4"/>
  <c r="G679" i="4" s="1"/>
  <c r="D679" i="4"/>
  <c r="F678" i="4"/>
  <c r="D678" i="4"/>
  <c r="E678" i="4" s="1"/>
  <c r="G678" i="4" s="1"/>
  <c r="F677" i="4"/>
  <c r="D677" i="4"/>
  <c r="E677" i="4" s="1"/>
  <c r="G677" i="4" s="1"/>
  <c r="F676" i="4"/>
  <c r="D676" i="4"/>
  <c r="E676" i="4" s="1"/>
  <c r="G676" i="4" s="1"/>
  <c r="F675" i="4"/>
  <c r="E675" i="4"/>
  <c r="G675" i="4" s="1"/>
  <c r="D675" i="4"/>
  <c r="F674" i="4"/>
  <c r="D674" i="4"/>
  <c r="E674" i="4" s="1"/>
  <c r="G674" i="4" s="1"/>
  <c r="F673" i="4"/>
  <c r="D673" i="4"/>
  <c r="E673" i="4" s="1"/>
  <c r="G673" i="4" s="1"/>
  <c r="F672" i="4"/>
  <c r="D672" i="4"/>
  <c r="E672" i="4" s="1"/>
  <c r="G672" i="4" s="1"/>
  <c r="F671" i="4"/>
  <c r="E671" i="4"/>
  <c r="G671" i="4" s="1"/>
  <c r="D671" i="4"/>
  <c r="F670" i="4"/>
  <c r="D670" i="4"/>
  <c r="E670" i="4" s="1"/>
  <c r="G670" i="4" s="1"/>
  <c r="F669" i="4"/>
  <c r="D669" i="4"/>
  <c r="E669" i="4" s="1"/>
  <c r="G669" i="4" s="1"/>
  <c r="F668" i="4"/>
  <c r="D668" i="4"/>
  <c r="E668" i="4" s="1"/>
  <c r="G668" i="4" s="1"/>
  <c r="F667" i="4"/>
  <c r="E667" i="4"/>
  <c r="G667" i="4" s="1"/>
  <c r="D667" i="4"/>
  <c r="F666" i="4"/>
  <c r="D666" i="4"/>
  <c r="E666" i="4" s="1"/>
  <c r="G666" i="4" s="1"/>
  <c r="F665" i="4"/>
  <c r="D665" i="4"/>
  <c r="E665" i="4" s="1"/>
  <c r="G665" i="4" s="1"/>
  <c r="F664" i="4"/>
  <c r="D664" i="4"/>
  <c r="E664" i="4" s="1"/>
  <c r="G664" i="4" s="1"/>
  <c r="F663" i="4"/>
  <c r="E663" i="4"/>
  <c r="G663" i="4" s="1"/>
  <c r="D663" i="4"/>
  <c r="F662" i="4"/>
  <c r="D662" i="4"/>
  <c r="E662" i="4" s="1"/>
  <c r="G662" i="4" s="1"/>
  <c r="F661" i="4"/>
  <c r="D661" i="4"/>
  <c r="E661" i="4" s="1"/>
  <c r="G661" i="4" s="1"/>
  <c r="F660" i="4"/>
  <c r="D660" i="4"/>
  <c r="E660" i="4" s="1"/>
  <c r="G660" i="4" s="1"/>
  <c r="F659" i="4"/>
  <c r="E659" i="4"/>
  <c r="G659" i="4" s="1"/>
  <c r="D659" i="4"/>
  <c r="F658" i="4"/>
  <c r="D658" i="4"/>
  <c r="E658" i="4" s="1"/>
  <c r="G658" i="4" s="1"/>
  <c r="F657" i="4"/>
  <c r="D657" i="4"/>
  <c r="E657" i="4" s="1"/>
  <c r="G657" i="4" s="1"/>
  <c r="F656" i="4"/>
  <c r="D656" i="4"/>
  <c r="E656" i="4" s="1"/>
  <c r="G656" i="4" s="1"/>
  <c r="F655" i="4"/>
  <c r="E655" i="4"/>
  <c r="G655" i="4" s="1"/>
  <c r="D655" i="4"/>
  <c r="F654" i="4"/>
  <c r="D654" i="4"/>
  <c r="E654" i="4" s="1"/>
  <c r="F653" i="4"/>
  <c r="D653" i="4"/>
  <c r="E653" i="4" s="1"/>
  <c r="G653" i="4" s="1"/>
  <c r="F652" i="4"/>
  <c r="D652" i="4"/>
  <c r="E652" i="4" s="1"/>
  <c r="G652" i="4" s="1"/>
  <c r="F651" i="4"/>
  <c r="E651" i="4"/>
  <c r="G651" i="4" s="1"/>
  <c r="D651" i="4"/>
  <c r="F650" i="4"/>
  <c r="D650" i="4"/>
  <c r="E650" i="4" s="1"/>
  <c r="G650" i="4" s="1"/>
  <c r="F649" i="4"/>
  <c r="D649" i="4"/>
  <c r="E649" i="4" s="1"/>
  <c r="G649" i="4" s="1"/>
  <c r="F648" i="4"/>
  <c r="D648" i="4"/>
  <c r="E648" i="4" s="1"/>
  <c r="G648" i="4" s="1"/>
  <c r="F647" i="4"/>
  <c r="E647" i="4"/>
  <c r="G647" i="4" s="1"/>
  <c r="D647" i="4"/>
  <c r="F646" i="4"/>
  <c r="D646" i="4"/>
  <c r="E646" i="4" s="1"/>
  <c r="G646" i="4" s="1"/>
  <c r="F645" i="4"/>
  <c r="D645" i="4"/>
  <c r="E645" i="4" s="1"/>
  <c r="G645" i="4" s="1"/>
  <c r="F644" i="4"/>
  <c r="D644" i="4"/>
  <c r="E644" i="4" s="1"/>
  <c r="G644" i="4" s="1"/>
  <c r="F643" i="4"/>
  <c r="E643" i="4"/>
  <c r="G643" i="4" s="1"/>
  <c r="D643" i="4"/>
  <c r="F642" i="4"/>
  <c r="D642" i="4"/>
  <c r="E642" i="4" s="1"/>
  <c r="G642" i="4" s="1"/>
  <c r="F641" i="4"/>
  <c r="D641" i="4"/>
  <c r="E641" i="4" s="1"/>
  <c r="G641" i="4" s="1"/>
  <c r="F640" i="4"/>
  <c r="D640" i="4"/>
  <c r="E640" i="4" s="1"/>
  <c r="G640" i="4" s="1"/>
  <c r="F639" i="4"/>
  <c r="E639" i="4"/>
  <c r="G639" i="4" s="1"/>
  <c r="D639" i="4"/>
  <c r="F638" i="4"/>
  <c r="D638" i="4"/>
  <c r="E638" i="4" s="1"/>
  <c r="F637" i="4"/>
  <c r="D637" i="4"/>
  <c r="E637" i="4" s="1"/>
  <c r="G637" i="4" s="1"/>
  <c r="F636" i="4"/>
  <c r="D636" i="4"/>
  <c r="E636" i="4" s="1"/>
  <c r="G636" i="4" s="1"/>
  <c r="F635" i="4"/>
  <c r="E635" i="4"/>
  <c r="G635" i="4" s="1"/>
  <c r="D635" i="4"/>
  <c r="F634" i="4"/>
  <c r="D634" i="4"/>
  <c r="E634" i="4" s="1"/>
  <c r="G634" i="4" s="1"/>
  <c r="F633" i="4"/>
  <c r="D633" i="4"/>
  <c r="E633" i="4" s="1"/>
  <c r="G633" i="4" s="1"/>
  <c r="F632" i="4"/>
  <c r="D632" i="4"/>
  <c r="E632" i="4" s="1"/>
  <c r="G632" i="4" s="1"/>
  <c r="F631" i="4"/>
  <c r="E631" i="4"/>
  <c r="G631" i="4" s="1"/>
  <c r="D631" i="4"/>
  <c r="F630" i="4"/>
  <c r="D630" i="4"/>
  <c r="E630" i="4" s="1"/>
  <c r="G630" i="4" s="1"/>
  <c r="F629" i="4"/>
  <c r="D629" i="4"/>
  <c r="E629" i="4" s="1"/>
  <c r="G629" i="4" s="1"/>
  <c r="F628" i="4"/>
  <c r="D628" i="4"/>
  <c r="E628" i="4" s="1"/>
  <c r="G628" i="4" s="1"/>
  <c r="F627" i="4"/>
  <c r="E627" i="4"/>
  <c r="G627" i="4" s="1"/>
  <c r="D627" i="4"/>
  <c r="F626" i="4"/>
  <c r="D626" i="4"/>
  <c r="E626" i="4" s="1"/>
  <c r="G626" i="4" s="1"/>
  <c r="F625" i="4"/>
  <c r="D625" i="4"/>
  <c r="E625" i="4" s="1"/>
  <c r="G625" i="4" s="1"/>
  <c r="F624" i="4"/>
  <c r="D624" i="4"/>
  <c r="E624" i="4" s="1"/>
  <c r="G624" i="4" s="1"/>
  <c r="F623" i="4"/>
  <c r="E623" i="4"/>
  <c r="G623" i="4" s="1"/>
  <c r="D623" i="4"/>
  <c r="F622" i="4"/>
  <c r="D622" i="4"/>
  <c r="E622" i="4" s="1"/>
  <c r="G622" i="4" s="1"/>
  <c r="F621" i="4"/>
  <c r="D621" i="4"/>
  <c r="E621" i="4" s="1"/>
  <c r="G621" i="4" s="1"/>
  <c r="F620" i="4"/>
  <c r="D620" i="4"/>
  <c r="E620" i="4" s="1"/>
  <c r="G620" i="4" s="1"/>
  <c r="F619" i="4"/>
  <c r="E619" i="4"/>
  <c r="G619" i="4" s="1"/>
  <c r="D619" i="4"/>
  <c r="F618" i="4"/>
  <c r="D618" i="4"/>
  <c r="E618" i="4" s="1"/>
  <c r="G618" i="4" s="1"/>
  <c r="F617" i="4"/>
  <c r="D617" i="4"/>
  <c r="E617" i="4" s="1"/>
  <c r="G617" i="4" s="1"/>
  <c r="F616" i="4"/>
  <c r="D616" i="4"/>
  <c r="E616" i="4" s="1"/>
  <c r="G616" i="4" s="1"/>
  <c r="F615" i="4"/>
  <c r="E615" i="4"/>
  <c r="G615" i="4" s="1"/>
  <c r="D615" i="4"/>
  <c r="F614" i="4"/>
  <c r="D614" i="4"/>
  <c r="E614" i="4" s="1"/>
  <c r="G614" i="4" s="1"/>
  <c r="F613" i="4"/>
  <c r="D613" i="4"/>
  <c r="E613" i="4" s="1"/>
  <c r="G613" i="4" s="1"/>
  <c r="F612" i="4"/>
  <c r="D612" i="4"/>
  <c r="E612" i="4" s="1"/>
  <c r="G612" i="4" s="1"/>
  <c r="F611" i="4"/>
  <c r="E611" i="4"/>
  <c r="G611" i="4" s="1"/>
  <c r="D611" i="4"/>
  <c r="F610" i="4"/>
  <c r="D610" i="4"/>
  <c r="E610" i="4" s="1"/>
  <c r="G610" i="4" s="1"/>
  <c r="F609" i="4"/>
  <c r="D609" i="4"/>
  <c r="E609" i="4" s="1"/>
  <c r="G609" i="4" s="1"/>
  <c r="F608" i="4"/>
  <c r="D608" i="4"/>
  <c r="E608" i="4" s="1"/>
  <c r="G608" i="4" s="1"/>
  <c r="F607" i="4"/>
  <c r="E607" i="4"/>
  <c r="G607" i="4" s="1"/>
  <c r="D607" i="4"/>
  <c r="F606" i="4"/>
  <c r="D606" i="4"/>
  <c r="E606" i="4" s="1"/>
  <c r="G606" i="4" s="1"/>
  <c r="F605" i="4"/>
  <c r="D605" i="4"/>
  <c r="E605" i="4" s="1"/>
  <c r="G605" i="4" s="1"/>
  <c r="F604" i="4"/>
  <c r="D604" i="4"/>
  <c r="E604" i="4" s="1"/>
  <c r="G604" i="4" s="1"/>
  <c r="F603" i="4"/>
  <c r="E603" i="4"/>
  <c r="G603" i="4" s="1"/>
  <c r="D603" i="4"/>
  <c r="F602" i="4"/>
  <c r="D602" i="4"/>
  <c r="E602" i="4" s="1"/>
  <c r="G602" i="4" s="1"/>
  <c r="F601" i="4"/>
  <c r="D601" i="4"/>
  <c r="E601" i="4" s="1"/>
  <c r="G601" i="4" s="1"/>
  <c r="F600" i="4"/>
  <c r="D600" i="4"/>
  <c r="E600" i="4" s="1"/>
  <c r="G600" i="4" s="1"/>
  <c r="F599" i="4"/>
  <c r="E599" i="4"/>
  <c r="G599" i="4" s="1"/>
  <c r="D599" i="4"/>
  <c r="F598" i="4"/>
  <c r="D598" i="4"/>
  <c r="E598" i="4" s="1"/>
  <c r="G598" i="4" s="1"/>
  <c r="F597" i="4"/>
  <c r="D597" i="4"/>
  <c r="E597" i="4" s="1"/>
  <c r="G597" i="4" s="1"/>
  <c r="F596" i="4"/>
  <c r="D596" i="4"/>
  <c r="E596" i="4" s="1"/>
  <c r="G596" i="4" s="1"/>
  <c r="F595" i="4"/>
  <c r="E595" i="4"/>
  <c r="G595" i="4" s="1"/>
  <c r="D595" i="4"/>
  <c r="F594" i="4"/>
  <c r="D594" i="4"/>
  <c r="E594" i="4" s="1"/>
  <c r="G594" i="4" s="1"/>
  <c r="F593" i="4"/>
  <c r="D593" i="4"/>
  <c r="E593" i="4" s="1"/>
  <c r="G593" i="4" s="1"/>
  <c r="F592" i="4"/>
  <c r="D592" i="4"/>
  <c r="E592" i="4" s="1"/>
  <c r="G592" i="4" s="1"/>
  <c r="F591" i="4"/>
  <c r="E591" i="4"/>
  <c r="G591" i="4" s="1"/>
  <c r="D591" i="4"/>
  <c r="F590" i="4"/>
  <c r="D590" i="4"/>
  <c r="E590" i="4" s="1"/>
  <c r="G590" i="4" s="1"/>
  <c r="F589" i="4"/>
  <c r="D589" i="4"/>
  <c r="E589" i="4" s="1"/>
  <c r="G589" i="4" s="1"/>
  <c r="F588" i="4"/>
  <c r="D588" i="4"/>
  <c r="E588" i="4" s="1"/>
  <c r="G588" i="4" s="1"/>
  <c r="F587" i="4"/>
  <c r="E587" i="4"/>
  <c r="G587" i="4" s="1"/>
  <c r="D587" i="4"/>
  <c r="F586" i="4"/>
  <c r="D586" i="4"/>
  <c r="E586" i="4" s="1"/>
  <c r="G586" i="4" s="1"/>
  <c r="F585" i="4"/>
  <c r="D585" i="4"/>
  <c r="E585" i="4" s="1"/>
  <c r="G585" i="4" s="1"/>
  <c r="F584" i="4"/>
  <c r="D584" i="4"/>
  <c r="E584" i="4" s="1"/>
  <c r="G584" i="4" s="1"/>
  <c r="F583" i="4"/>
  <c r="E583" i="4"/>
  <c r="G583" i="4" s="1"/>
  <c r="D583" i="4"/>
  <c r="F582" i="4"/>
  <c r="D582" i="4"/>
  <c r="E582" i="4" s="1"/>
  <c r="F581" i="4"/>
  <c r="D581" i="4"/>
  <c r="E581" i="4" s="1"/>
  <c r="G581" i="4" s="1"/>
  <c r="F580" i="4"/>
  <c r="D580" i="4"/>
  <c r="E580" i="4" s="1"/>
  <c r="G580" i="4" s="1"/>
  <c r="F579" i="4"/>
  <c r="E579" i="4"/>
  <c r="G579" i="4" s="1"/>
  <c r="D579" i="4"/>
  <c r="F578" i="4"/>
  <c r="D578" i="4"/>
  <c r="E578" i="4" s="1"/>
  <c r="G578" i="4" s="1"/>
  <c r="F577" i="4"/>
  <c r="D577" i="4"/>
  <c r="E577" i="4" s="1"/>
  <c r="G577" i="4" s="1"/>
  <c r="F576" i="4"/>
  <c r="D576" i="4"/>
  <c r="E576" i="4" s="1"/>
  <c r="G576" i="4" s="1"/>
  <c r="F575" i="4"/>
  <c r="E575" i="4"/>
  <c r="G575" i="4" s="1"/>
  <c r="D575" i="4"/>
  <c r="F574" i="4"/>
  <c r="D574" i="4"/>
  <c r="E574" i="4" s="1"/>
  <c r="G574" i="4" s="1"/>
  <c r="F573" i="4"/>
  <c r="D573" i="4"/>
  <c r="E573" i="4" s="1"/>
  <c r="G573" i="4" s="1"/>
  <c r="F572" i="4"/>
  <c r="D572" i="4"/>
  <c r="E572" i="4" s="1"/>
  <c r="G572" i="4" s="1"/>
  <c r="F571" i="4"/>
  <c r="E571" i="4"/>
  <c r="G571" i="4" s="1"/>
  <c r="D571" i="4"/>
  <c r="F570" i="4"/>
  <c r="D570" i="4"/>
  <c r="E570" i="4" s="1"/>
  <c r="G570" i="4" s="1"/>
  <c r="F569" i="4"/>
  <c r="D569" i="4"/>
  <c r="E569" i="4" s="1"/>
  <c r="G569" i="4" s="1"/>
  <c r="F568" i="4"/>
  <c r="D568" i="4"/>
  <c r="E568" i="4" s="1"/>
  <c r="G568" i="4" s="1"/>
  <c r="F567" i="4"/>
  <c r="E567" i="4"/>
  <c r="G567" i="4" s="1"/>
  <c r="D567" i="4"/>
  <c r="F566" i="4"/>
  <c r="D566" i="4"/>
  <c r="E566" i="4" s="1"/>
  <c r="G566" i="4" s="1"/>
  <c r="F565" i="4"/>
  <c r="E565" i="4"/>
  <c r="G565" i="4" s="1"/>
  <c r="D565" i="4"/>
  <c r="G564" i="4"/>
  <c r="F564" i="4"/>
  <c r="D564" i="4"/>
  <c r="E564" i="4" s="1"/>
  <c r="F563" i="4"/>
  <c r="E563" i="4"/>
  <c r="G563" i="4" s="1"/>
  <c r="D563" i="4"/>
  <c r="F562" i="4"/>
  <c r="D562" i="4"/>
  <c r="E562" i="4" s="1"/>
  <c r="G562" i="4" s="1"/>
  <c r="F561" i="4"/>
  <c r="E561" i="4"/>
  <c r="G561" i="4" s="1"/>
  <c r="D561" i="4"/>
  <c r="G560" i="4"/>
  <c r="F560" i="4"/>
  <c r="D560" i="4"/>
  <c r="E560" i="4" s="1"/>
  <c r="F559" i="4"/>
  <c r="E559" i="4"/>
  <c r="G559" i="4" s="1"/>
  <c r="D559" i="4"/>
  <c r="F558" i="4"/>
  <c r="D558" i="4"/>
  <c r="E558" i="4" s="1"/>
  <c r="G558" i="4" s="1"/>
  <c r="F557" i="4"/>
  <c r="E557" i="4"/>
  <c r="G557" i="4" s="1"/>
  <c r="D557" i="4"/>
  <c r="G556" i="4"/>
  <c r="F556" i="4"/>
  <c r="D556" i="4"/>
  <c r="E556" i="4" s="1"/>
  <c r="F555" i="4"/>
  <c r="E555" i="4"/>
  <c r="G555" i="4" s="1"/>
  <c r="D555" i="4"/>
  <c r="F554" i="4"/>
  <c r="D554" i="4"/>
  <c r="E554" i="4" s="1"/>
  <c r="G554" i="4" s="1"/>
  <c r="F553" i="4"/>
  <c r="E553" i="4"/>
  <c r="G553" i="4" s="1"/>
  <c r="D553" i="4"/>
  <c r="F552" i="4"/>
  <c r="D552" i="4"/>
  <c r="E552" i="4" s="1"/>
  <c r="G552" i="4" s="1"/>
  <c r="F551" i="4"/>
  <c r="E551" i="4"/>
  <c r="G551" i="4" s="1"/>
  <c r="D551" i="4"/>
  <c r="F550" i="4"/>
  <c r="D550" i="4"/>
  <c r="E550" i="4" s="1"/>
  <c r="G550" i="4" s="1"/>
  <c r="F549" i="4"/>
  <c r="E549" i="4"/>
  <c r="G549" i="4" s="1"/>
  <c r="D549" i="4"/>
  <c r="G548" i="4"/>
  <c r="F548" i="4"/>
  <c r="D548" i="4"/>
  <c r="E548" i="4" s="1"/>
  <c r="F547" i="4"/>
  <c r="E547" i="4"/>
  <c r="G547" i="4" s="1"/>
  <c r="D547" i="4"/>
  <c r="F546" i="4"/>
  <c r="D546" i="4"/>
  <c r="E546" i="4" s="1"/>
  <c r="G546" i="4" s="1"/>
  <c r="F545" i="4"/>
  <c r="E545" i="4"/>
  <c r="G545" i="4" s="1"/>
  <c r="D545" i="4"/>
  <c r="G544" i="4"/>
  <c r="F544" i="4"/>
  <c r="D544" i="4"/>
  <c r="E544" i="4" s="1"/>
  <c r="F543" i="4"/>
  <c r="E543" i="4"/>
  <c r="G543" i="4" s="1"/>
  <c r="D543" i="4"/>
  <c r="F542" i="4"/>
  <c r="D542" i="4"/>
  <c r="E542" i="4" s="1"/>
  <c r="G542" i="4" s="1"/>
  <c r="F541" i="4"/>
  <c r="E541" i="4"/>
  <c r="G541" i="4" s="1"/>
  <c r="D541" i="4"/>
  <c r="G540" i="4"/>
  <c r="F540" i="4"/>
  <c r="D540" i="4"/>
  <c r="E540" i="4" s="1"/>
  <c r="F539" i="4"/>
  <c r="E539" i="4"/>
  <c r="G539" i="4" s="1"/>
  <c r="D539" i="4"/>
  <c r="F538" i="4"/>
  <c r="D538" i="4"/>
  <c r="E538" i="4" s="1"/>
  <c r="G538" i="4" s="1"/>
  <c r="F537" i="4"/>
  <c r="E537" i="4"/>
  <c r="G537" i="4" s="1"/>
  <c r="D537" i="4"/>
  <c r="G536" i="4"/>
  <c r="F536" i="4"/>
  <c r="D536" i="4"/>
  <c r="E536" i="4" s="1"/>
  <c r="F535" i="4"/>
  <c r="E535" i="4"/>
  <c r="G535" i="4" s="1"/>
  <c r="D535" i="4"/>
  <c r="F534" i="4"/>
  <c r="D534" i="4"/>
  <c r="E534" i="4" s="1"/>
  <c r="G534" i="4" s="1"/>
  <c r="F533" i="4"/>
  <c r="E533" i="4"/>
  <c r="G533" i="4" s="1"/>
  <c r="D533" i="4"/>
  <c r="G532" i="4"/>
  <c r="F532" i="4"/>
  <c r="D532" i="4"/>
  <c r="E532" i="4" s="1"/>
  <c r="F531" i="4"/>
  <c r="E531" i="4"/>
  <c r="G531" i="4" s="1"/>
  <c r="D531" i="4"/>
  <c r="G530" i="4"/>
  <c r="F530" i="4"/>
  <c r="D530" i="4"/>
  <c r="E530" i="4" s="1"/>
  <c r="F529" i="4"/>
  <c r="E529" i="4"/>
  <c r="G529" i="4" s="1"/>
  <c r="D529" i="4"/>
  <c r="F528" i="4"/>
  <c r="D528" i="4"/>
  <c r="E528" i="4" s="1"/>
  <c r="G528" i="4" s="1"/>
  <c r="F527" i="4"/>
  <c r="E527" i="4"/>
  <c r="G527" i="4" s="1"/>
  <c r="D527" i="4"/>
  <c r="F526" i="4"/>
  <c r="D526" i="4"/>
  <c r="E526" i="4" s="1"/>
  <c r="G526" i="4" s="1"/>
  <c r="F525" i="4"/>
  <c r="E525" i="4"/>
  <c r="G525" i="4" s="1"/>
  <c r="D525" i="4"/>
  <c r="G524" i="4"/>
  <c r="F524" i="4"/>
  <c r="D524" i="4"/>
  <c r="E524" i="4" s="1"/>
  <c r="F523" i="4"/>
  <c r="E523" i="4"/>
  <c r="G523" i="4" s="1"/>
  <c r="D523" i="4"/>
  <c r="G522" i="4"/>
  <c r="F522" i="4"/>
  <c r="D522" i="4"/>
  <c r="E522" i="4" s="1"/>
  <c r="F521" i="4"/>
  <c r="E521" i="4"/>
  <c r="G521" i="4" s="1"/>
  <c r="D521" i="4"/>
  <c r="G520" i="4"/>
  <c r="F520" i="4"/>
  <c r="D520" i="4"/>
  <c r="E520" i="4" s="1"/>
  <c r="F519" i="4"/>
  <c r="E519" i="4"/>
  <c r="G519" i="4" s="1"/>
  <c r="D519" i="4"/>
  <c r="F518" i="4"/>
  <c r="D518" i="4"/>
  <c r="E518" i="4" s="1"/>
  <c r="G518" i="4" s="1"/>
  <c r="F517" i="4"/>
  <c r="E517" i="4"/>
  <c r="G517" i="4" s="1"/>
  <c r="D517" i="4"/>
  <c r="G516" i="4"/>
  <c r="F516" i="4"/>
  <c r="D516" i="4"/>
  <c r="E516" i="4" s="1"/>
  <c r="F515" i="4"/>
  <c r="E515" i="4"/>
  <c r="G515" i="4" s="1"/>
  <c r="D515" i="4"/>
  <c r="F514" i="4"/>
  <c r="D514" i="4"/>
  <c r="E514" i="4" s="1"/>
  <c r="G514" i="4" s="1"/>
  <c r="F513" i="4"/>
  <c r="E513" i="4"/>
  <c r="G513" i="4" s="1"/>
  <c r="D513" i="4"/>
  <c r="G512" i="4"/>
  <c r="F512" i="4"/>
  <c r="D512" i="4"/>
  <c r="E512" i="4" s="1"/>
  <c r="F511" i="4"/>
  <c r="E511" i="4"/>
  <c r="G511" i="4" s="1"/>
  <c r="D511" i="4"/>
  <c r="F510" i="4"/>
  <c r="D510" i="4"/>
  <c r="E510" i="4" s="1"/>
  <c r="G510" i="4" s="1"/>
  <c r="F509" i="4"/>
  <c r="E509" i="4"/>
  <c r="G509" i="4" s="1"/>
  <c r="D509" i="4"/>
  <c r="G508" i="4"/>
  <c r="F508" i="4"/>
  <c r="D508" i="4"/>
  <c r="E508" i="4" s="1"/>
  <c r="F507" i="4"/>
  <c r="E507" i="4"/>
  <c r="G507" i="4" s="1"/>
  <c r="D507" i="4"/>
  <c r="G506" i="4"/>
  <c r="F506" i="4"/>
  <c r="D506" i="4"/>
  <c r="E506" i="4" s="1"/>
  <c r="F505" i="4"/>
  <c r="E505" i="4"/>
  <c r="G505" i="4" s="1"/>
  <c r="D505" i="4"/>
  <c r="F504" i="4"/>
  <c r="D504" i="4"/>
  <c r="E504" i="4" s="1"/>
  <c r="G504" i="4" s="1"/>
  <c r="F503" i="4"/>
  <c r="E503" i="4"/>
  <c r="G503" i="4" s="1"/>
  <c r="D503" i="4"/>
  <c r="F502" i="4"/>
  <c r="D502" i="4"/>
  <c r="E502" i="4" s="1"/>
  <c r="G502" i="4" s="1"/>
  <c r="F501" i="4"/>
  <c r="E501" i="4"/>
  <c r="G501" i="4" s="1"/>
  <c r="D501" i="4"/>
  <c r="G500" i="4"/>
  <c r="F500" i="4"/>
  <c r="D500" i="4"/>
  <c r="E500" i="4" s="1"/>
  <c r="F499" i="4"/>
  <c r="E499" i="4"/>
  <c r="G499" i="4" s="1"/>
  <c r="D499" i="4"/>
  <c r="G498" i="4"/>
  <c r="F498" i="4"/>
  <c r="D498" i="4"/>
  <c r="E498" i="4" s="1"/>
  <c r="F497" i="4"/>
  <c r="E497" i="4"/>
  <c r="G497" i="4" s="1"/>
  <c r="D497" i="4"/>
  <c r="F496" i="4"/>
  <c r="D496" i="4"/>
  <c r="E496" i="4" s="1"/>
  <c r="G496" i="4" s="1"/>
  <c r="F495" i="4"/>
  <c r="E495" i="4"/>
  <c r="G495" i="4" s="1"/>
  <c r="D495" i="4"/>
  <c r="F494" i="4"/>
  <c r="D494" i="4"/>
  <c r="E494" i="4" s="1"/>
  <c r="G494" i="4" s="1"/>
  <c r="F493" i="4"/>
  <c r="E493" i="4"/>
  <c r="G493" i="4" s="1"/>
  <c r="D493" i="4"/>
  <c r="G492" i="4"/>
  <c r="F492" i="4"/>
  <c r="D492" i="4"/>
  <c r="E492" i="4" s="1"/>
  <c r="F491" i="4"/>
  <c r="E491" i="4"/>
  <c r="G491" i="4" s="1"/>
  <c r="D491" i="4"/>
  <c r="F490" i="4"/>
  <c r="D490" i="4"/>
  <c r="E490" i="4" s="1"/>
  <c r="G490" i="4" s="1"/>
  <c r="F489" i="4"/>
  <c r="E489" i="4"/>
  <c r="G489" i="4" s="1"/>
  <c r="D489" i="4"/>
  <c r="F488" i="4"/>
  <c r="D488" i="4"/>
  <c r="E488" i="4" s="1"/>
  <c r="G488" i="4" s="1"/>
  <c r="F487" i="4"/>
  <c r="E487" i="4"/>
  <c r="G487" i="4" s="1"/>
  <c r="D487" i="4"/>
  <c r="F486" i="4"/>
  <c r="D486" i="4"/>
  <c r="E486" i="4" s="1"/>
  <c r="G486" i="4" s="1"/>
  <c r="F485" i="4"/>
  <c r="E485" i="4"/>
  <c r="G485" i="4" s="1"/>
  <c r="D485" i="4"/>
  <c r="G484" i="4"/>
  <c r="F484" i="4"/>
  <c r="D484" i="4"/>
  <c r="E484" i="4" s="1"/>
  <c r="F483" i="4"/>
  <c r="E483" i="4"/>
  <c r="G483" i="4" s="1"/>
  <c r="D483" i="4"/>
  <c r="F482" i="4"/>
  <c r="D482" i="4"/>
  <c r="E482" i="4" s="1"/>
  <c r="G482" i="4" s="1"/>
  <c r="F481" i="4"/>
  <c r="E481" i="4"/>
  <c r="G481" i="4" s="1"/>
  <c r="D481" i="4"/>
  <c r="G480" i="4"/>
  <c r="F480" i="4"/>
  <c r="D480" i="4"/>
  <c r="E480" i="4" s="1"/>
  <c r="F479" i="4"/>
  <c r="E479" i="4"/>
  <c r="G479" i="4" s="1"/>
  <c r="D479" i="4"/>
  <c r="F478" i="4"/>
  <c r="D478" i="4"/>
  <c r="E478" i="4" s="1"/>
  <c r="G478" i="4" s="1"/>
  <c r="F477" i="4"/>
  <c r="E477" i="4"/>
  <c r="G477" i="4" s="1"/>
  <c r="D477" i="4"/>
  <c r="G476" i="4"/>
  <c r="F476" i="4"/>
  <c r="D476" i="4"/>
  <c r="E476" i="4" s="1"/>
  <c r="F475" i="4"/>
  <c r="E475" i="4"/>
  <c r="G475" i="4" s="1"/>
  <c r="D475" i="4"/>
  <c r="F474" i="4"/>
  <c r="D474" i="4"/>
  <c r="E474" i="4" s="1"/>
  <c r="G474" i="4" s="1"/>
  <c r="F473" i="4"/>
  <c r="E473" i="4"/>
  <c r="G473" i="4" s="1"/>
  <c r="D473" i="4"/>
  <c r="G472" i="4"/>
  <c r="F472" i="4"/>
  <c r="D472" i="4"/>
  <c r="E472" i="4" s="1"/>
  <c r="F471" i="4"/>
  <c r="E471" i="4"/>
  <c r="G471" i="4" s="1"/>
  <c r="D471" i="4"/>
  <c r="F470" i="4"/>
  <c r="D470" i="4"/>
  <c r="E470" i="4" s="1"/>
  <c r="G470" i="4" s="1"/>
  <c r="F469" i="4"/>
  <c r="E469" i="4"/>
  <c r="G469" i="4" s="1"/>
  <c r="D469" i="4"/>
  <c r="G468" i="4"/>
  <c r="F468" i="4"/>
  <c r="D468" i="4"/>
  <c r="E468" i="4" s="1"/>
  <c r="F467" i="4"/>
  <c r="E467" i="4"/>
  <c r="G467" i="4" s="1"/>
  <c r="D467" i="4"/>
  <c r="G466" i="4"/>
  <c r="F466" i="4"/>
  <c r="D466" i="4"/>
  <c r="E466" i="4" s="1"/>
  <c r="F465" i="4"/>
  <c r="E465" i="4"/>
  <c r="G465" i="4" s="1"/>
  <c r="D465" i="4"/>
  <c r="G464" i="4"/>
  <c r="F464" i="4"/>
  <c r="D464" i="4"/>
  <c r="E464" i="4" s="1"/>
  <c r="F463" i="4"/>
  <c r="E463" i="4"/>
  <c r="G463" i="4" s="1"/>
  <c r="D463" i="4"/>
  <c r="F462" i="4"/>
  <c r="D462" i="4"/>
  <c r="E462" i="4" s="1"/>
  <c r="G462" i="4" s="1"/>
  <c r="F461" i="4"/>
  <c r="E461" i="4"/>
  <c r="G461" i="4" s="1"/>
  <c r="D461" i="4"/>
  <c r="G460" i="4"/>
  <c r="F460" i="4"/>
  <c r="D460" i="4"/>
  <c r="E460" i="4" s="1"/>
  <c r="F459" i="4"/>
  <c r="E459" i="4"/>
  <c r="G459" i="4" s="1"/>
  <c r="D459" i="4"/>
  <c r="G458" i="4"/>
  <c r="F458" i="4"/>
  <c r="E458" i="4"/>
  <c r="D458" i="4"/>
  <c r="F457" i="4"/>
  <c r="D457" i="4"/>
  <c r="E457" i="4" s="1"/>
  <c r="G457" i="4" s="1"/>
  <c r="F456" i="4"/>
  <c r="D456" i="4"/>
  <c r="E456" i="4" s="1"/>
  <c r="G456" i="4" s="1"/>
  <c r="F455" i="4"/>
  <c r="E455" i="4"/>
  <c r="G455" i="4" s="1"/>
  <c r="D455" i="4"/>
  <c r="F454" i="4"/>
  <c r="E454" i="4"/>
  <c r="G454" i="4" s="1"/>
  <c r="D454" i="4"/>
  <c r="F453" i="4"/>
  <c r="D453" i="4"/>
  <c r="E453" i="4" s="1"/>
  <c r="G453" i="4" s="1"/>
  <c r="F452" i="4"/>
  <c r="D452" i="4"/>
  <c r="E452" i="4" s="1"/>
  <c r="F451" i="4"/>
  <c r="E451" i="4"/>
  <c r="G451" i="4" s="1"/>
  <c r="D451" i="4"/>
  <c r="F450" i="4"/>
  <c r="E450" i="4"/>
  <c r="G450" i="4" s="1"/>
  <c r="D450" i="4"/>
  <c r="F449" i="4"/>
  <c r="D449" i="4"/>
  <c r="E449" i="4" s="1"/>
  <c r="G449" i="4" s="1"/>
  <c r="F448" i="4"/>
  <c r="D448" i="4"/>
  <c r="E448" i="4" s="1"/>
  <c r="G448" i="4" s="1"/>
  <c r="F447" i="4"/>
  <c r="E447" i="4"/>
  <c r="G447" i="4" s="1"/>
  <c r="D447" i="4"/>
  <c r="G446" i="4"/>
  <c r="F446" i="4"/>
  <c r="E446" i="4"/>
  <c r="D446" i="4"/>
  <c r="F445" i="4"/>
  <c r="D445" i="4"/>
  <c r="E445" i="4" s="1"/>
  <c r="G445" i="4" s="1"/>
  <c r="F444" i="4"/>
  <c r="D444" i="4"/>
  <c r="E444" i="4" s="1"/>
  <c r="G444" i="4" s="1"/>
  <c r="F443" i="4"/>
  <c r="E443" i="4"/>
  <c r="G443" i="4" s="1"/>
  <c r="D443" i="4"/>
  <c r="F442" i="4"/>
  <c r="E442" i="4"/>
  <c r="G442" i="4" s="1"/>
  <c r="D442" i="4"/>
  <c r="F441" i="4"/>
  <c r="D441" i="4"/>
  <c r="E441" i="4" s="1"/>
  <c r="G441" i="4" s="1"/>
  <c r="F440" i="4"/>
  <c r="D440" i="4"/>
  <c r="E440" i="4" s="1"/>
  <c r="G440" i="4" s="1"/>
  <c r="F439" i="4"/>
  <c r="E439" i="4"/>
  <c r="G439" i="4" s="1"/>
  <c r="D439" i="4"/>
  <c r="G438" i="4"/>
  <c r="F438" i="4"/>
  <c r="E438" i="4"/>
  <c r="D438" i="4"/>
  <c r="F437" i="4"/>
  <c r="D437" i="4"/>
  <c r="E437" i="4" s="1"/>
  <c r="F436" i="4"/>
  <c r="D436" i="4"/>
  <c r="E436" i="4" s="1"/>
  <c r="G436" i="4" s="1"/>
  <c r="F435" i="4"/>
  <c r="E435" i="4"/>
  <c r="G435" i="4" s="1"/>
  <c r="D435" i="4"/>
  <c r="F434" i="4"/>
  <c r="E434" i="4"/>
  <c r="G434" i="4" s="1"/>
  <c r="D434" i="4"/>
  <c r="F433" i="4"/>
  <c r="D433" i="4"/>
  <c r="E433" i="4" s="1"/>
  <c r="G433" i="4" s="1"/>
  <c r="F432" i="4"/>
  <c r="D432" i="4"/>
  <c r="E432" i="4" s="1"/>
  <c r="G432" i="4" s="1"/>
  <c r="F431" i="4"/>
  <c r="E431" i="4"/>
  <c r="G431" i="4" s="1"/>
  <c r="D431" i="4"/>
  <c r="G430" i="4"/>
  <c r="F430" i="4"/>
  <c r="E430" i="4"/>
  <c r="D430" i="4"/>
  <c r="F429" i="4"/>
  <c r="D429" i="4"/>
  <c r="E429" i="4" s="1"/>
  <c r="G429" i="4" s="1"/>
  <c r="F428" i="4"/>
  <c r="D428" i="4"/>
  <c r="E428" i="4" s="1"/>
  <c r="G428" i="4" s="1"/>
  <c r="F427" i="4"/>
  <c r="E427" i="4"/>
  <c r="G427" i="4" s="1"/>
  <c r="D427" i="4"/>
  <c r="G426" i="4"/>
  <c r="F426" i="4"/>
  <c r="E426" i="4"/>
  <c r="D426" i="4"/>
  <c r="F425" i="4"/>
  <c r="D425" i="4"/>
  <c r="E425" i="4" s="1"/>
  <c r="G425" i="4" s="1"/>
  <c r="F424" i="4"/>
  <c r="D424" i="4"/>
  <c r="E424" i="4" s="1"/>
  <c r="G424" i="4" s="1"/>
  <c r="F423" i="4"/>
  <c r="E423" i="4"/>
  <c r="G423" i="4" s="1"/>
  <c r="D423" i="4"/>
  <c r="G422" i="4"/>
  <c r="F422" i="4"/>
  <c r="E422" i="4"/>
  <c r="D422" i="4"/>
  <c r="F421" i="4"/>
  <c r="D421" i="4"/>
  <c r="E421" i="4" s="1"/>
  <c r="G421" i="4" s="1"/>
  <c r="F420" i="4"/>
  <c r="D420" i="4"/>
  <c r="E420" i="4" s="1"/>
  <c r="G420" i="4" s="1"/>
  <c r="F419" i="4"/>
  <c r="E419" i="4"/>
  <c r="G419" i="4" s="1"/>
  <c r="D419" i="4"/>
  <c r="F418" i="4"/>
  <c r="E418" i="4"/>
  <c r="G418" i="4" s="1"/>
  <c r="D418" i="4"/>
  <c r="F417" i="4"/>
  <c r="D417" i="4"/>
  <c r="E417" i="4" s="1"/>
  <c r="G417" i="4" s="1"/>
  <c r="F416" i="4"/>
  <c r="D416" i="4"/>
  <c r="E416" i="4" s="1"/>
  <c r="G416" i="4" s="1"/>
  <c r="F415" i="4"/>
  <c r="E415" i="4"/>
  <c r="G415" i="4" s="1"/>
  <c r="D415" i="4"/>
  <c r="G414" i="4"/>
  <c r="F414" i="4"/>
  <c r="E414" i="4"/>
  <c r="D414" i="4"/>
  <c r="F413" i="4"/>
  <c r="D413" i="4"/>
  <c r="E413" i="4" s="1"/>
  <c r="G413" i="4" s="1"/>
  <c r="F412" i="4"/>
  <c r="D412" i="4"/>
  <c r="E412" i="4" s="1"/>
  <c r="G412" i="4" s="1"/>
  <c r="F411" i="4"/>
  <c r="E411" i="4"/>
  <c r="G411" i="4" s="1"/>
  <c r="D411" i="4"/>
  <c r="G410" i="4"/>
  <c r="F410" i="4"/>
  <c r="E410" i="4"/>
  <c r="D410" i="4"/>
  <c r="F409" i="4"/>
  <c r="D409" i="4"/>
  <c r="E409" i="4" s="1"/>
  <c r="G409" i="4" s="1"/>
  <c r="F408" i="4"/>
  <c r="D408" i="4"/>
  <c r="E408" i="4" s="1"/>
  <c r="G408" i="4" s="1"/>
  <c r="F407" i="4"/>
  <c r="E407" i="4"/>
  <c r="G407" i="4" s="1"/>
  <c r="D407" i="4"/>
  <c r="F406" i="4"/>
  <c r="E406" i="4"/>
  <c r="G406" i="4" s="1"/>
  <c r="D406" i="4"/>
  <c r="F405" i="4"/>
  <c r="D405" i="4"/>
  <c r="E405" i="4" s="1"/>
  <c r="G405" i="4" s="1"/>
  <c r="F404" i="4"/>
  <c r="D404" i="4"/>
  <c r="E404" i="4" s="1"/>
  <c r="G404" i="4" s="1"/>
  <c r="F403" i="4"/>
  <c r="E403" i="4"/>
  <c r="G403" i="4" s="1"/>
  <c r="D403" i="4"/>
  <c r="F402" i="4"/>
  <c r="E402" i="4"/>
  <c r="G402" i="4" s="1"/>
  <c r="D402" i="4"/>
  <c r="F401" i="4"/>
  <c r="D401" i="4"/>
  <c r="E401" i="4" s="1"/>
  <c r="F400" i="4"/>
  <c r="D400" i="4"/>
  <c r="E400" i="4" s="1"/>
  <c r="G400" i="4" s="1"/>
  <c r="F399" i="4"/>
  <c r="E399" i="4"/>
  <c r="G399" i="4" s="1"/>
  <c r="D399" i="4"/>
  <c r="G398" i="4"/>
  <c r="F398" i="4"/>
  <c r="E398" i="4"/>
  <c r="D398" i="4"/>
  <c r="F397" i="4"/>
  <c r="D397" i="4"/>
  <c r="E397" i="4" s="1"/>
  <c r="G397" i="4" s="1"/>
  <c r="F396" i="4"/>
  <c r="D396" i="4"/>
  <c r="E396" i="4" s="1"/>
  <c r="G396" i="4" s="1"/>
  <c r="F395" i="4"/>
  <c r="E395" i="4"/>
  <c r="G395" i="4" s="1"/>
  <c r="D395" i="4"/>
  <c r="F394" i="4"/>
  <c r="E394" i="4"/>
  <c r="G394" i="4" s="1"/>
  <c r="D394" i="4"/>
  <c r="F393" i="4"/>
  <c r="D393" i="4"/>
  <c r="E393" i="4" s="1"/>
  <c r="G393" i="4" s="1"/>
  <c r="F392" i="4"/>
  <c r="D392" i="4"/>
  <c r="E392" i="4" s="1"/>
  <c r="G392" i="4" s="1"/>
  <c r="F391" i="4"/>
  <c r="E391" i="4"/>
  <c r="G391" i="4" s="1"/>
  <c r="D391" i="4"/>
  <c r="G390" i="4"/>
  <c r="F390" i="4"/>
  <c r="E390" i="4"/>
  <c r="D390" i="4"/>
  <c r="F389" i="4"/>
  <c r="D389" i="4"/>
  <c r="E389" i="4" s="1"/>
  <c r="G389" i="4" s="1"/>
  <c r="F388" i="4"/>
  <c r="D388" i="4"/>
  <c r="E388" i="4" s="1"/>
  <c r="G388" i="4" s="1"/>
  <c r="F387" i="4"/>
  <c r="E387" i="4"/>
  <c r="G387" i="4" s="1"/>
  <c r="D387" i="4"/>
  <c r="F386" i="4"/>
  <c r="E386" i="4"/>
  <c r="G386" i="4" s="1"/>
  <c r="D386" i="4"/>
  <c r="G385" i="4"/>
  <c r="F385" i="4"/>
  <c r="E385" i="4"/>
  <c r="D385" i="4"/>
  <c r="F384" i="4"/>
  <c r="E384" i="4"/>
  <c r="G384" i="4" s="1"/>
  <c r="D384" i="4"/>
  <c r="F383" i="4"/>
  <c r="E383" i="4"/>
  <c r="G383" i="4" s="1"/>
  <c r="D383" i="4"/>
  <c r="F382" i="4"/>
  <c r="E382" i="4"/>
  <c r="G382" i="4" s="1"/>
  <c r="D382" i="4"/>
  <c r="F381" i="4"/>
  <c r="E381" i="4"/>
  <c r="G381" i="4" s="1"/>
  <c r="D381" i="4"/>
  <c r="F380" i="4"/>
  <c r="E380" i="4"/>
  <c r="G380" i="4" s="1"/>
  <c r="D380" i="4"/>
  <c r="F379" i="4"/>
  <c r="E379" i="4"/>
  <c r="G379" i="4" s="1"/>
  <c r="D379" i="4"/>
  <c r="F378" i="4"/>
  <c r="E378" i="4"/>
  <c r="G378" i="4" s="1"/>
  <c r="D378" i="4"/>
  <c r="G377" i="4"/>
  <c r="F377" i="4"/>
  <c r="E377" i="4"/>
  <c r="D377" i="4"/>
  <c r="F376" i="4"/>
  <c r="E376" i="4"/>
  <c r="G376" i="4" s="1"/>
  <c r="D376" i="4"/>
  <c r="G375" i="4"/>
  <c r="F375" i="4"/>
  <c r="E375" i="4"/>
  <c r="D375" i="4"/>
  <c r="F374" i="4"/>
  <c r="E374" i="4"/>
  <c r="G374" i="4" s="1"/>
  <c r="D374" i="4"/>
  <c r="G373" i="4"/>
  <c r="F373" i="4"/>
  <c r="E373" i="4"/>
  <c r="D373" i="4"/>
  <c r="F372" i="4"/>
  <c r="E372" i="4"/>
  <c r="G372" i="4" s="1"/>
  <c r="D372" i="4"/>
  <c r="G371" i="4"/>
  <c r="F371" i="4"/>
  <c r="E371" i="4"/>
  <c r="D371" i="4"/>
  <c r="F370" i="4"/>
  <c r="E370" i="4"/>
  <c r="G370" i="4" s="1"/>
  <c r="D370" i="4"/>
  <c r="G369" i="4"/>
  <c r="F369" i="4"/>
  <c r="E369" i="4"/>
  <c r="D369" i="4"/>
  <c r="F368" i="4"/>
  <c r="E368" i="4"/>
  <c r="G368" i="4" s="1"/>
  <c r="D368" i="4"/>
  <c r="F367" i="4"/>
  <c r="E367" i="4"/>
  <c r="G367" i="4" s="1"/>
  <c r="D367" i="4"/>
  <c r="F366" i="4"/>
  <c r="E366" i="4"/>
  <c r="G366" i="4" s="1"/>
  <c r="D366" i="4"/>
  <c r="F365" i="4"/>
  <c r="E365" i="4"/>
  <c r="G365" i="4" s="1"/>
  <c r="D365" i="4"/>
  <c r="F364" i="4"/>
  <c r="E364" i="4"/>
  <c r="G364" i="4" s="1"/>
  <c r="D364" i="4"/>
  <c r="F363" i="4"/>
  <c r="E363" i="4"/>
  <c r="G363" i="4" s="1"/>
  <c r="D363" i="4"/>
  <c r="F362" i="4"/>
  <c r="E362" i="4"/>
  <c r="G362" i="4" s="1"/>
  <c r="D362" i="4"/>
  <c r="G361" i="4"/>
  <c r="F361" i="4"/>
  <c r="E361" i="4"/>
  <c r="D361" i="4"/>
  <c r="F360" i="4"/>
  <c r="E360" i="4"/>
  <c r="G360" i="4" s="1"/>
  <c r="D360" i="4"/>
  <c r="G359" i="4"/>
  <c r="F359" i="4"/>
  <c r="E359" i="4"/>
  <c r="D359" i="4"/>
  <c r="F358" i="4"/>
  <c r="E358" i="4"/>
  <c r="G358" i="4" s="1"/>
  <c r="D358" i="4"/>
  <c r="G357" i="4"/>
  <c r="F357" i="4"/>
  <c r="E357" i="4"/>
  <c r="D357" i="4"/>
  <c r="F356" i="4"/>
  <c r="E356" i="4"/>
  <c r="G356" i="4" s="1"/>
  <c r="D356" i="4"/>
  <c r="G355" i="4"/>
  <c r="F355" i="4"/>
  <c r="E355" i="4"/>
  <c r="D355" i="4"/>
  <c r="F354" i="4"/>
  <c r="E354" i="4"/>
  <c r="G354" i="4" s="1"/>
  <c r="D354" i="4"/>
  <c r="G353" i="4"/>
  <c r="F353" i="4"/>
  <c r="E353" i="4"/>
  <c r="D353" i="4"/>
  <c r="F352" i="4"/>
  <c r="E352" i="4"/>
  <c r="G352" i="4" s="1"/>
  <c r="D352" i="4"/>
  <c r="F351" i="4"/>
  <c r="E351" i="4"/>
  <c r="G351" i="4" s="1"/>
  <c r="D351" i="4"/>
  <c r="F350" i="4"/>
  <c r="E350" i="4"/>
  <c r="G350" i="4" s="1"/>
  <c r="D350" i="4"/>
  <c r="F349" i="4"/>
  <c r="E349" i="4"/>
  <c r="G349" i="4" s="1"/>
  <c r="D349" i="4"/>
  <c r="F348" i="4"/>
  <c r="E348" i="4"/>
  <c r="G348" i="4" s="1"/>
  <c r="D348" i="4"/>
  <c r="F347" i="4"/>
  <c r="E347" i="4"/>
  <c r="G347" i="4" s="1"/>
  <c r="D347" i="4"/>
  <c r="F346" i="4"/>
  <c r="E346" i="4"/>
  <c r="G346" i="4" s="1"/>
  <c r="D346" i="4"/>
  <c r="G345" i="4"/>
  <c r="F345" i="4"/>
  <c r="E345" i="4"/>
  <c r="D345" i="4"/>
  <c r="F344" i="4"/>
  <c r="E344" i="4"/>
  <c r="G344" i="4" s="1"/>
  <c r="D344" i="4"/>
  <c r="G343" i="4"/>
  <c r="F343" i="4"/>
  <c r="E343" i="4"/>
  <c r="D343" i="4"/>
  <c r="F342" i="4"/>
  <c r="E342" i="4"/>
  <c r="G342" i="4" s="1"/>
  <c r="D342" i="4"/>
  <c r="G341" i="4"/>
  <c r="F341" i="4"/>
  <c r="E341" i="4"/>
  <c r="D341" i="4"/>
  <c r="F340" i="4"/>
  <c r="E340" i="4"/>
  <c r="G340" i="4" s="1"/>
  <c r="D340" i="4"/>
  <c r="G339" i="4"/>
  <c r="F339" i="4"/>
  <c r="E339" i="4"/>
  <c r="D339" i="4"/>
  <c r="F338" i="4"/>
  <c r="E338" i="4"/>
  <c r="G338" i="4" s="1"/>
  <c r="D338" i="4"/>
  <c r="G337" i="4"/>
  <c r="F337" i="4"/>
  <c r="E337" i="4"/>
  <c r="D337" i="4"/>
  <c r="F336" i="4"/>
  <c r="E336" i="4"/>
  <c r="G336" i="4" s="1"/>
  <c r="D336" i="4"/>
  <c r="F335" i="4"/>
  <c r="E335" i="4"/>
  <c r="G335" i="4" s="1"/>
  <c r="D335" i="4"/>
  <c r="F334" i="4"/>
  <c r="E334" i="4"/>
  <c r="G334" i="4" s="1"/>
  <c r="D334" i="4"/>
  <c r="F333" i="4"/>
  <c r="E333" i="4"/>
  <c r="G333" i="4" s="1"/>
  <c r="D333" i="4"/>
  <c r="F332" i="4"/>
  <c r="E332" i="4"/>
  <c r="G332" i="4" s="1"/>
  <c r="D332" i="4"/>
  <c r="F331" i="4"/>
  <c r="E331" i="4"/>
  <c r="G331" i="4" s="1"/>
  <c r="D331" i="4"/>
  <c r="F330" i="4"/>
  <c r="E330" i="4"/>
  <c r="G330" i="4" s="1"/>
  <c r="D330" i="4"/>
  <c r="G329" i="4"/>
  <c r="F329" i="4"/>
  <c r="E329" i="4"/>
  <c r="D329" i="4"/>
  <c r="F328" i="4"/>
  <c r="E328" i="4"/>
  <c r="G328" i="4" s="1"/>
  <c r="D328" i="4"/>
  <c r="G327" i="4"/>
  <c r="F327" i="4"/>
  <c r="E327" i="4"/>
  <c r="D327" i="4"/>
  <c r="F326" i="4"/>
  <c r="E326" i="4"/>
  <c r="G326" i="4" s="1"/>
  <c r="D326" i="4"/>
  <c r="G325" i="4"/>
  <c r="F325" i="4"/>
  <c r="E325" i="4"/>
  <c r="D325" i="4"/>
  <c r="F324" i="4"/>
  <c r="E324" i="4"/>
  <c r="G324" i="4" s="1"/>
  <c r="D324" i="4"/>
  <c r="G323" i="4"/>
  <c r="F323" i="4"/>
  <c r="E323" i="4"/>
  <c r="D323" i="4"/>
  <c r="F322" i="4"/>
  <c r="E322" i="4"/>
  <c r="G322" i="4" s="1"/>
  <c r="D322" i="4"/>
  <c r="G321" i="4"/>
  <c r="F321" i="4"/>
  <c r="E321" i="4"/>
  <c r="D321" i="4"/>
  <c r="F320" i="4"/>
  <c r="E320" i="4"/>
  <c r="G320" i="4" s="1"/>
  <c r="D320" i="4"/>
  <c r="F319" i="4"/>
  <c r="E319" i="4"/>
  <c r="G319" i="4" s="1"/>
  <c r="D319" i="4"/>
  <c r="F318" i="4"/>
  <c r="E318" i="4"/>
  <c r="G318" i="4" s="1"/>
  <c r="D318" i="4"/>
  <c r="F317" i="4"/>
  <c r="E317" i="4"/>
  <c r="G317" i="4" s="1"/>
  <c r="D317" i="4"/>
  <c r="F316" i="4"/>
  <c r="E316" i="4"/>
  <c r="G316" i="4" s="1"/>
  <c r="D316" i="4"/>
  <c r="F315" i="4"/>
  <c r="E315" i="4"/>
  <c r="G315" i="4" s="1"/>
  <c r="D315" i="4"/>
  <c r="F314" i="4"/>
  <c r="E314" i="4"/>
  <c r="G314" i="4" s="1"/>
  <c r="D314" i="4"/>
  <c r="G313" i="4"/>
  <c r="F313" i="4"/>
  <c r="E313" i="4"/>
  <c r="D313" i="4"/>
  <c r="F312" i="4"/>
  <c r="E312" i="4"/>
  <c r="G312" i="4" s="1"/>
  <c r="D312" i="4"/>
  <c r="G311" i="4"/>
  <c r="F311" i="4"/>
  <c r="E311" i="4"/>
  <c r="D311" i="4"/>
  <c r="F310" i="4"/>
  <c r="E310" i="4"/>
  <c r="G310" i="4" s="1"/>
  <c r="D310" i="4"/>
  <c r="G309" i="4"/>
  <c r="F309" i="4"/>
  <c r="E309" i="4"/>
  <c r="D309" i="4"/>
  <c r="F308" i="4"/>
  <c r="E308" i="4"/>
  <c r="G308" i="4" s="1"/>
  <c r="D308" i="4"/>
  <c r="G307" i="4"/>
  <c r="F307" i="4"/>
  <c r="E307" i="4"/>
  <c r="D307" i="4"/>
  <c r="F306" i="4"/>
  <c r="E306" i="4"/>
  <c r="G306" i="4" s="1"/>
  <c r="D306" i="4"/>
  <c r="G305" i="4"/>
  <c r="F305" i="4"/>
  <c r="E305" i="4"/>
  <c r="D305" i="4"/>
  <c r="F304" i="4"/>
  <c r="E304" i="4"/>
  <c r="G304" i="4" s="1"/>
  <c r="D304" i="4"/>
  <c r="F303" i="4"/>
  <c r="E303" i="4"/>
  <c r="G303" i="4" s="1"/>
  <c r="D303" i="4"/>
  <c r="F302" i="4"/>
  <c r="E302" i="4"/>
  <c r="G302" i="4" s="1"/>
  <c r="D302" i="4"/>
  <c r="F301" i="4"/>
  <c r="E301" i="4"/>
  <c r="G301" i="4" s="1"/>
  <c r="D301" i="4"/>
  <c r="F300" i="4"/>
  <c r="E300" i="4"/>
  <c r="G300" i="4" s="1"/>
  <c r="D300" i="4"/>
  <c r="G299" i="4"/>
  <c r="F299" i="4"/>
  <c r="E299" i="4"/>
  <c r="D299" i="4"/>
  <c r="F298" i="4"/>
  <c r="E298" i="4"/>
  <c r="G298" i="4" s="1"/>
  <c r="D298" i="4"/>
  <c r="G297" i="4"/>
  <c r="F297" i="4"/>
  <c r="E297" i="4"/>
  <c r="D297" i="4"/>
  <c r="F296" i="4"/>
  <c r="E296" i="4"/>
  <c r="G296" i="4" s="1"/>
  <c r="D296" i="4"/>
  <c r="G295" i="4"/>
  <c r="F295" i="4"/>
  <c r="E295" i="4"/>
  <c r="D295" i="4"/>
  <c r="F294" i="4"/>
  <c r="E294" i="4"/>
  <c r="G294" i="4" s="1"/>
  <c r="D294" i="4"/>
  <c r="G293" i="4"/>
  <c r="F293" i="4"/>
  <c r="E293" i="4"/>
  <c r="D293" i="4"/>
  <c r="F292" i="4"/>
  <c r="E292" i="4"/>
  <c r="G292" i="4" s="1"/>
  <c r="D292" i="4"/>
  <c r="G291" i="4"/>
  <c r="F291" i="4"/>
  <c r="E291" i="4"/>
  <c r="D291" i="4"/>
  <c r="F290" i="4"/>
  <c r="E290" i="4"/>
  <c r="G290" i="4" s="1"/>
  <c r="D290" i="4"/>
  <c r="G289" i="4"/>
  <c r="F289" i="4"/>
  <c r="E289" i="4"/>
  <c r="D289" i="4"/>
  <c r="F288" i="4"/>
  <c r="E288" i="4"/>
  <c r="G288" i="4" s="1"/>
  <c r="D288" i="4"/>
  <c r="F287" i="4"/>
  <c r="E287" i="4"/>
  <c r="G287" i="4" s="1"/>
  <c r="D287" i="4"/>
  <c r="F286" i="4"/>
  <c r="E286" i="4"/>
  <c r="G286" i="4" s="1"/>
  <c r="D286" i="4"/>
  <c r="F285" i="4"/>
  <c r="E285" i="4"/>
  <c r="G285" i="4" s="1"/>
  <c r="D285" i="4"/>
  <c r="F284" i="4"/>
  <c r="E284" i="4"/>
  <c r="G284" i="4" s="1"/>
  <c r="D284" i="4"/>
  <c r="G283" i="4"/>
  <c r="F283" i="4"/>
  <c r="E283" i="4"/>
  <c r="D283" i="4"/>
  <c r="F282" i="4"/>
  <c r="E282" i="4"/>
  <c r="G282" i="4" s="1"/>
  <c r="D282" i="4"/>
  <c r="G281" i="4"/>
  <c r="F281" i="4"/>
  <c r="E281" i="4"/>
  <c r="D281" i="4"/>
  <c r="F280" i="4"/>
  <c r="E280" i="4"/>
  <c r="G280" i="4" s="1"/>
  <c r="D280" i="4"/>
  <c r="G279" i="4"/>
  <c r="F279" i="4"/>
  <c r="E279" i="4"/>
  <c r="D279" i="4"/>
  <c r="F278" i="4"/>
  <c r="E278" i="4"/>
  <c r="G278" i="4" s="1"/>
  <c r="D278" i="4"/>
  <c r="G277" i="4"/>
  <c r="F277" i="4"/>
  <c r="E277" i="4"/>
  <c r="D277" i="4"/>
  <c r="F276" i="4"/>
  <c r="E276" i="4"/>
  <c r="G276" i="4" s="1"/>
  <c r="D276" i="4"/>
  <c r="G275" i="4"/>
  <c r="F275" i="4"/>
  <c r="E275" i="4"/>
  <c r="D275" i="4"/>
  <c r="F274" i="4"/>
  <c r="E274" i="4"/>
  <c r="G274" i="4" s="1"/>
  <c r="D274" i="4"/>
  <c r="G273" i="4"/>
  <c r="F273" i="4"/>
  <c r="E273" i="4"/>
  <c r="D273" i="4"/>
  <c r="F272" i="4"/>
  <c r="E272" i="4"/>
  <c r="G272" i="4" s="1"/>
  <c r="D272" i="4"/>
  <c r="F271" i="4"/>
  <c r="E271" i="4"/>
  <c r="G271" i="4" s="1"/>
  <c r="D271" i="4"/>
  <c r="F270" i="4"/>
  <c r="E270" i="4"/>
  <c r="G270" i="4" s="1"/>
  <c r="D270" i="4"/>
  <c r="F269" i="4"/>
  <c r="E269" i="4"/>
  <c r="G269" i="4" s="1"/>
  <c r="D269" i="4"/>
  <c r="F268" i="4"/>
  <c r="E268" i="4"/>
  <c r="G268" i="4" s="1"/>
  <c r="D268" i="4"/>
  <c r="G267" i="4"/>
  <c r="F267" i="4"/>
  <c r="E267" i="4"/>
  <c r="D267" i="4"/>
  <c r="F266" i="4"/>
  <c r="E266" i="4"/>
  <c r="G266" i="4" s="1"/>
  <c r="D266" i="4"/>
  <c r="G265" i="4"/>
  <c r="F265" i="4"/>
  <c r="E265" i="4"/>
  <c r="D265" i="4"/>
  <c r="F264" i="4"/>
  <c r="E264" i="4"/>
  <c r="G264" i="4" s="1"/>
  <c r="D264" i="4"/>
  <c r="G263" i="4"/>
  <c r="F263" i="4"/>
  <c r="E263" i="4"/>
  <c r="D263" i="4"/>
  <c r="F262" i="4"/>
  <c r="E262" i="4"/>
  <c r="G262" i="4" s="1"/>
  <c r="D262" i="4"/>
  <c r="G261" i="4"/>
  <c r="F261" i="4"/>
  <c r="E261" i="4"/>
  <c r="D261" i="4"/>
  <c r="F260" i="4"/>
  <c r="E260" i="4"/>
  <c r="G260" i="4" s="1"/>
  <c r="D260" i="4"/>
  <c r="G259" i="4"/>
  <c r="F259" i="4"/>
  <c r="E259" i="4"/>
  <c r="D259" i="4"/>
  <c r="F258" i="4"/>
  <c r="E258" i="4"/>
  <c r="G258" i="4" s="1"/>
  <c r="D258" i="4"/>
  <c r="G257" i="4"/>
  <c r="F257" i="4"/>
  <c r="E257" i="4"/>
  <c r="D257" i="4"/>
  <c r="F256" i="4"/>
  <c r="E256" i="4"/>
  <c r="G256" i="4" s="1"/>
  <c r="D256" i="4"/>
  <c r="F255" i="4"/>
  <c r="E255" i="4"/>
  <c r="G255" i="4" s="1"/>
  <c r="D255" i="4"/>
  <c r="F254" i="4"/>
  <c r="E254" i="4"/>
  <c r="G254" i="4" s="1"/>
  <c r="D254" i="4"/>
  <c r="F253" i="4"/>
  <c r="E253" i="4"/>
  <c r="G253" i="4" s="1"/>
  <c r="D253" i="4"/>
  <c r="F252" i="4"/>
  <c r="E252" i="4"/>
  <c r="G252" i="4" s="1"/>
  <c r="D252" i="4"/>
  <c r="G251" i="4"/>
  <c r="F251" i="4"/>
  <c r="E251" i="4"/>
  <c r="D251" i="4"/>
  <c r="F250" i="4"/>
  <c r="E250" i="4"/>
  <c r="G250" i="4" s="1"/>
  <c r="D250" i="4"/>
  <c r="G249" i="4"/>
  <c r="F249" i="4"/>
  <c r="E249" i="4"/>
  <c r="D249" i="4"/>
  <c r="F248" i="4"/>
  <c r="E248" i="4"/>
  <c r="G248" i="4" s="1"/>
  <c r="D248" i="4"/>
  <c r="G247" i="4"/>
  <c r="F247" i="4"/>
  <c r="E247" i="4"/>
  <c r="D247" i="4"/>
  <c r="F246" i="4"/>
  <c r="E246" i="4"/>
  <c r="G246" i="4" s="1"/>
  <c r="D246" i="4"/>
  <c r="G245" i="4"/>
  <c r="F245" i="4"/>
  <c r="E245" i="4"/>
  <c r="D245" i="4"/>
  <c r="F244" i="4"/>
  <c r="E244" i="4"/>
  <c r="G244" i="4" s="1"/>
  <c r="D244" i="4"/>
  <c r="F243" i="4"/>
  <c r="E243" i="4"/>
  <c r="G243" i="4" s="1"/>
  <c r="D243" i="4"/>
  <c r="F242" i="4"/>
  <c r="E242" i="4"/>
  <c r="G242" i="4" s="1"/>
  <c r="D242" i="4"/>
  <c r="G241" i="4"/>
  <c r="F241" i="4"/>
  <c r="E241" i="4"/>
  <c r="D241" i="4"/>
  <c r="F240" i="4"/>
  <c r="E240" i="4"/>
  <c r="G240" i="4" s="1"/>
  <c r="D240" i="4"/>
  <c r="F239" i="4"/>
  <c r="E239" i="4"/>
  <c r="G239" i="4" s="1"/>
  <c r="D239" i="4"/>
  <c r="F238" i="4"/>
  <c r="E238" i="4"/>
  <c r="G238" i="4" s="1"/>
  <c r="D238" i="4"/>
  <c r="F237" i="4"/>
  <c r="E237" i="4"/>
  <c r="G237" i="4" s="1"/>
  <c r="D237" i="4"/>
  <c r="F236" i="4"/>
  <c r="E236" i="4"/>
  <c r="G236" i="4" s="1"/>
  <c r="D236" i="4"/>
  <c r="G235" i="4"/>
  <c r="F235" i="4"/>
  <c r="E235" i="4"/>
  <c r="D235" i="4"/>
  <c r="F234" i="4"/>
  <c r="E234" i="4"/>
  <c r="G234" i="4" s="1"/>
  <c r="D234" i="4"/>
  <c r="G233" i="4"/>
  <c r="F233" i="4"/>
  <c r="E233" i="4"/>
  <c r="D233" i="4"/>
  <c r="F232" i="4"/>
  <c r="E232" i="4"/>
  <c r="G232" i="4" s="1"/>
  <c r="D232" i="4"/>
  <c r="G231" i="4"/>
  <c r="F231" i="4"/>
  <c r="E231" i="4"/>
  <c r="D231" i="4"/>
  <c r="F230" i="4"/>
  <c r="E230" i="4"/>
  <c r="G230" i="4" s="1"/>
  <c r="D230" i="4"/>
  <c r="G229" i="4"/>
  <c r="F229" i="4"/>
  <c r="E229" i="4"/>
  <c r="D229" i="4"/>
  <c r="F228" i="4"/>
  <c r="E228" i="4"/>
  <c r="G228" i="4" s="1"/>
  <c r="D228" i="4"/>
  <c r="F227" i="4"/>
  <c r="E227" i="4"/>
  <c r="G227" i="4" s="1"/>
  <c r="D227" i="4"/>
  <c r="F226" i="4"/>
  <c r="E226" i="4"/>
  <c r="G226" i="4" s="1"/>
  <c r="D226" i="4"/>
  <c r="G225" i="4"/>
  <c r="F225" i="4"/>
  <c r="E225" i="4"/>
  <c r="D225" i="4"/>
  <c r="F224" i="4"/>
  <c r="E224" i="4"/>
  <c r="G224" i="4" s="1"/>
  <c r="D224" i="4"/>
  <c r="F223" i="4"/>
  <c r="E223" i="4"/>
  <c r="G223" i="4" s="1"/>
  <c r="D223" i="4"/>
  <c r="F222" i="4"/>
  <c r="E222" i="4"/>
  <c r="G222" i="4" s="1"/>
  <c r="D222" i="4"/>
  <c r="F221" i="4"/>
  <c r="E221" i="4"/>
  <c r="G221" i="4" s="1"/>
  <c r="D221" i="4"/>
  <c r="F220" i="4"/>
  <c r="E220" i="4"/>
  <c r="G220" i="4" s="1"/>
  <c r="D220" i="4"/>
  <c r="G219" i="4"/>
  <c r="F219" i="4"/>
  <c r="E219" i="4"/>
  <c r="D219" i="4"/>
  <c r="F218" i="4"/>
  <c r="E218" i="4"/>
  <c r="G218" i="4" s="1"/>
  <c r="D218" i="4"/>
  <c r="G217" i="4"/>
  <c r="F217" i="4"/>
  <c r="E217" i="4"/>
  <c r="D217" i="4"/>
  <c r="F216" i="4"/>
  <c r="E216" i="4"/>
  <c r="G216" i="4" s="1"/>
  <c r="D216" i="4"/>
  <c r="G215" i="4"/>
  <c r="F215" i="4"/>
  <c r="E215" i="4"/>
  <c r="D215" i="4"/>
  <c r="F214" i="4"/>
  <c r="E214" i="4"/>
  <c r="G214" i="4" s="1"/>
  <c r="D214" i="4"/>
  <c r="G213" i="4"/>
  <c r="F213" i="4"/>
  <c r="E213" i="4"/>
  <c r="D213" i="4"/>
  <c r="F212" i="4"/>
  <c r="E212" i="4"/>
  <c r="G212" i="4" s="1"/>
  <c r="D212" i="4"/>
  <c r="F211" i="4"/>
  <c r="E211" i="4"/>
  <c r="G211" i="4" s="1"/>
  <c r="D211" i="4"/>
  <c r="F210" i="4"/>
  <c r="E210" i="4"/>
  <c r="G210" i="4" s="1"/>
  <c r="D210" i="4"/>
  <c r="G209" i="4"/>
  <c r="F209" i="4"/>
  <c r="E209" i="4"/>
  <c r="D209" i="4"/>
  <c r="F208" i="4"/>
  <c r="E208" i="4"/>
  <c r="G208" i="4" s="1"/>
  <c r="D208" i="4"/>
  <c r="F207" i="4"/>
  <c r="E207" i="4"/>
  <c r="G207" i="4" s="1"/>
  <c r="D207" i="4"/>
  <c r="F206" i="4"/>
  <c r="E206" i="4"/>
  <c r="G206" i="4" s="1"/>
  <c r="D206" i="4"/>
  <c r="F205" i="4"/>
  <c r="E205" i="4"/>
  <c r="G205" i="4" s="1"/>
  <c r="D205" i="4"/>
  <c r="F204" i="4"/>
  <c r="E204" i="4"/>
  <c r="G204" i="4" s="1"/>
  <c r="D204" i="4"/>
  <c r="G203" i="4"/>
  <c r="F203" i="4"/>
  <c r="E203" i="4"/>
  <c r="D203" i="4"/>
  <c r="F202" i="4"/>
  <c r="E202" i="4"/>
  <c r="G202" i="4" s="1"/>
  <c r="D202" i="4"/>
  <c r="G201" i="4"/>
  <c r="F201" i="4"/>
  <c r="E201" i="4"/>
  <c r="D201" i="4"/>
  <c r="F200" i="4"/>
  <c r="E200" i="4"/>
  <c r="G200" i="4" s="1"/>
  <c r="D200" i="4"/>
  <c r="G199" i="4"/>
  <c r="F199" i="4"/>
  <c r="E199" i="4"/>
  <c r="D199" i="4"/>
  <c r="F198" i="4"/>
  <c r="E198" i="4"/>
  <c r="G198" i="4" s="1"/>
  <c r="D198" i="4"/>
  <c r="G197" i="4"/>
  <c r="F197" i="4"/>
  <c r="E197" i="4"/>
  <c r="D197" i="4"/>
  <c r="F196" i="4"/>
  <c r="E196" i="4"/>
  <c r="G196" i="4" s="1"/>
  <c r="D196" i="4"/>
  <c r="F195" i="4"/>
  <c r="E195" i="4"/>
  <c r="G195" i="4" s="1"/>
  <c r="D195" i="4"/>
  <c r="F194" i="4"/>
  <c r="E194" i="4"/>
  <c r="G194" i="4" s="1"/>
  <c r="D194" i="4"/>
  <c r="G193" i="4"/>
  <c r="F193" i="4"/>
  <c r="E193" i="4"/>
  <c r="D193" i="4"/>
  <c r="F192" i="4"/>
  <c r="E192" i="4"/>
  <c r="G192" i="4" s="1"/>
  <c r="D192" i="4"/>
  <c r="F191" i="4"/>
  <c r="E191" i="4"/>
  <c r="G191" i="4" s="1"/>
  <c r="D191" i="4"/>
  <c r="F190" i="4"/>
  <c r="E190" i="4"/>
  <c r="G190" i="4" s="1"/>
  <c r="D190" i="4"/>
  <c r="F189" i="4"/>
  <c r="E189" i="4"/>
  <c r="G189" i="4" s="1"/>
  <c r="D189" i="4"/>
  <c r="F188" i="4"/>
  <c r="E188" i="4"/>
  <c r="G188" i="4" s="1"/>
  <c r="D188" i="4"/>
  <c r="G187" i="4"/>
  <c r="F187" i="4"/>
  <c r="E187" i="4"/>
  <c r="D187" i="4"/>
  <c r="F186" i="4"/>
  <c r="E186" i="4"/>
  <c r="G186" i="4" s="1"/>
  <c r="D186" i="4"/>
  <c r="G185" i="4"/>
  <c r="F185" i="4"/>
  <c r="E185" i="4"/>
  <c r="D185" i="4"/>
  <c r="F184" i="4"/>
  <c r="E184" i="4"/>
  <c r="G184" i="4" s="1"/>
  <c r="D184" i="4"/>
  <c r="G183" i="4"/>
  <c r="F183" i="4"/>
  <c r="E183" i="4"/>
  <c r="D183" i="4"/>
  <c r="F182" i="4"/>
  <c r="E182" i="4"/>
  <c r="G182" i="4" s="1"/>
  <c r="D182" i="4"/>
  <c r="G181" i="4"/>
  <c r="F181" i="4"/>
  <c r="E181" i="4"/>
  <c r="D181" i="4"/>
  <c r="F180" i="4"/>
  <c r="E180" i="4"/>
  <c r="G180" i="4" s="1"/>
  <c r="D180" i="4"/>
  <c r="F179" i="4"/>
  <c r="E179" i="4"/>
  <c r="G179" i="4" s="1"/>
  <c r="D179" i="4"/>
  <c r="F178" i="4"/>
  <c r="E178" i="4"/>
  <c r="G178" i="4" s="1"/>
  <c r="D178" i="4"/>
  <c r="G177" i="4"/>
  <c r="F177" i="4"/>
  <c r="E177" i="4"/>
  <c r="D177" i="4"/>
  <c r="F176" i="4"/>
  <c r="E176" i="4"/>
  <c r="G176" i="4" s="1"/>
  <c r="D176" i="4"/>
  <c r="F175" i="4"/>
  <c r="E175" i="4"/>
  <c r="G175" i="4" s="1"/>
  <c r="D175" i="4"/>
  <c r="F174" i="4"/>
  <c r="E174" i="4"/>
  <c r="G174" i="4" s="1"/>
  <c r="D174" i="4"/>
  <c r="F173" i="4"/>
  <c r="E173" i="4"/>
  <c r="G173" i="4" s="1"/>
  <c r="D173" i="4"/>
  <c r="F172" i="4"/>
  <c r="E172" i="4"/>
  <c r="G172" i="4" s="1"/>
  <c r="D172" i="4"/>
  <c r="G171" i="4"/>
  <c r="F171" i="4"/>
  <c r="E171" i="4"/>
  <c r="D171" i="4"/>
  <c r="F170" i="4"/>
  <c r="E170" i="4"/>
  <c r="G170" i="4" s="1"/>
  <c r="D170" i="4"/>
  <c r="G169" i="4"/>
  <c r="F169" i="4"/>
  <c r="E169" i="4"/>
  <c r="D169" i="4"/>
  <c r="F168" i="4"/>
  <c r="E168" i="4"/>
  <c r="G168" i="4" s="1"/>
  <c r="D168" i="4"/>
  <c r="G167" i="4"/>
  <c r="F167" i="4"/>
  <c r="E167" i="4"/>
  <c r="D167" i="4"/>
  <c r="F166" i="4"/>
  <c r="E166" i="4"/>
  <c r="G166" i="4" s="1"/>
  <c r="D166" i="4"/>
  <c r="G165" i="4"/>
  <c r="F165" i="4"/>
  <c r="E165" i="4"/>
  <c r="D165" i="4"/>
  <c r="F164" i="4"/>
  <c r="E164" i="4"/>
  <c r="G164" i="4" s="1"/>
  <c r="D164" i="4"/>
  <c r="F163" i="4"/>
  <c r="E163" i="4"/>
  <c r="G163" i="4" s="1"/>
  <c r="D163" i="4"/>
  <c r="F162" i="4"/>
  <c r="E162" i="4"/>
  <c r="G162" i="4" s="1"/>
  <c r="D162" i="4"/>
  <c r="G161" i="4"/>
  <c r="F161" i="4"/>
  <c r="E161" i="4"/>
  <c r="D161" i="4"/>
  <c r="F160" i="4"/>
  <c r="E160" i="4"/>
  <c r="G160" i="4" s="1"/>
  <c r="D160" i="4"/>
  <c r="F159" i="4"/>
  <c r="E159" i="4"/>
  <c r="G159" i="4" s="1"/>
  <c r="D159" i="4"/>
  <c r="F158" i="4"/>
  <c r="E158" i="4"/>
  <c r="G158" i="4" s="1"/>
  <c r="D158" i="4"/>
  <c r="F157" i="4"/>
  <c r="E157" i="4"/>
  <c r="G157" i="4" s="1"/>
  <c r="D157" i="4"/>
  <c r="F156" i="4"/>
  <c r="E156" i="4"/>
  <c r="G156" i="4" s="1"/>
  <c r="D156" i="4"/>
  <c r="G155" i="4"/>
  <c r="F155" i="4"/>
  <c r="E155" i="4"/>
  <c r="D155" i="4"/>
  <c r="F154" i="4"/>
  <c r="E154" i="4"/>
  <c r="G154" i="4" s="1"/>
  <c r="D154" i="4"/>
  <c r="G153" i="4"/>
  <c r="F153" i="4"/>
  <c r="E153" i="4"/>
  <c r="D153" i="4"/>
  <c r="F152" i="4"/>
  <c r="E152" i="4"/>
  <c r="G152" i="4" s="1"/>
  <c r="D152" i="4"/>
  <c r="G151" i="4"/>
  <c r="F151" i="4"/>
  <c r="E151" i="4"/>
  <c r="D151" i="4"/>
  <c r="F150" i="4"/>
  <c r="E150" i="4"/>
  <c r="G150" i="4" s="1"/>
  <c r="D150" i="4"/>
  <c r="G149" i="4"/>
  <c r="F149" i="4"/>
  <c r="E149" i="4"/>
  <c r="D149" i="4"/>
  <c r="F148" i="4"/>
  <c r="E148" i="4"/>
  <c r="G148" i="4" s="1"/>
  <c r="D148" i="4"/>
  <c r="F147" i="4"/>
  <c r="E147" i="4"/>
  <c r="G147" i="4" s="1"/>
  <c r="D147" i="4"/>
  <c r="F146" i="4"/>
  <c r="E146" i="4"/>
  <c r="G146" i="4" s="1"/>
  <c r="D146" i="4"/>
  <c r="G145" i="4"/>
  <c r="F145" i="4"/>
  <c r="E145" i="4"/>
  <c r="D145" i="4"/>
  <c r="F144" i="4"/>
  <c r="E144" i="4"/>
  <c r="G144" i="4" s="1"/>
  <c r="D144" i="4"/>
  <c r="F143" i="4"/>
  <c r="E143" i="4"/>
  <c r="G143" i="4" s="1"/>
  <c r="D143" i="4"/>
  <c r="F142" i="4"/>
  <c r="E142" i="4"/>
  <c r="G142" i="4" s="1"/>
  <c r="D142" i="4"/>
  <c r="F141" i="4"/>
  <c r="E141" i="4"/>
  <c r="G141" i="4" s="1"/>
  <c r="D141" i="4"/>
  <c r="F140" i="4"/>
  <c r="E140" i="4"/>
  <c r="G140" i="4" s="1"/>
  <c r="D140" i="4"/>
  <c r="G139" i="4"/>
  <c r="F139" i="4"/>
  <c r="E139" i="4"/>
  <c r="D139" i="4"/>
  <c r="F138" i="4"/>
  <c r="E138" i="4"/>
  <c r="G138" i="4" s="1"/>
  <c r="D138" i="4"/>
  <c r="G137" i="4"/>
  <c r="F137" i="4"/>
  <c r="E137" i="4"/>
  <c r="D137" i="4"/>
  <c r="F136" i="4"/>
  <c r="E136" i="4"/>
  <c r="G136" i="4" s="1"/>
  <c r="D136" i="4"/>
  <c r="G135" i="4"/>
  <c r="F135" i="4"/>
  <c r="E135" i="4"/>
  <c r="D135" i="4"/>
  <c r="F134" i="4"/>
  <c r="E134" i="4"/>
  <c r="G134" i="4" s="1"/>
  <c r="D134" i="4"/>
  <c r="G133" i="4"/>
  <c r="F133" i="4"/>
  <c r="E133" i="4"/>
  <c r="D133" i="4"/>
  <c r="F132" i="4"/>
  <c r="E132" i="4"/>
  <c r="G132" i="4" s="1"/>
  <c r="D132" i="4"/>
  <c r="F131" i="4"/>
  <c r="E131" i="4"/>
  <c r="G131" i="4" s="1"/>
  <c r="D131" i="4"/>
  <c r="F130" i="4"/>
  <c r="E130" i="4"/>
  <c r="G130" i="4" s="1"/>
  <c r="D130" i="4"/>
  <c r="G129" i="4"/>
  <c r="F129" i="4"/>
  <c r="E129" i="4"/>
  <c r="D129" i="4"/>
  <c r="F128" i="4"/>
  <c r="E128" i="4"/>
  <c r="G128" i="4" s="1"/>
  <c r="D128" i="4"/>
  <c r="F127" i="4"/>
  <c r="E127" i="4"/>
  <c r="G127" i="4" s="1"/>
  <c r="D127" i="4"/>
  <c r="F126" i="4"/>
  <c r="E126" i="4"/>
  <c r="G126" i="4" s="1"/>
  <c r="D126" i="4"/>
  <c r="F125" i="4"/>
  <c r="E125" i="4"/>
  <c r="G125" i="4" s="1"/>
  <c r="D125" i="4"/>
  <c r="F124" i="4"/>
  <c r="E124" i="4"/>
  <c r="G124" i="4" s="1"/>
  <c r="D124" i="4"/>
  <c r="G123" i="4"/>
  <c r="F123" i="4"/>
  <c r="E123" i="4"/>
  <c r="D123" i="4"/>
  <c r="F122" i="4"/>
  <c r="E122" i="4"/>
  <c r="G122" i="4" s="1"/>
  <c r="D122" i="4"/>
  <c r="G121" i="4"/>
  <c r="F121" i="4"/>
  <c r="E121" i="4"/>
  <c r="D121" i="4"/>
  <c r="F120" i="4"/>
  <c r="E120" i="4"/>
  <c r="G120" i="4" s="1"/>
  <c r="D120" i="4"/>
  <c r="G119" i="4"/>
  <c r="F119" i="4"/>
  <c r="E119" i="4"/>
  <c r="D119" i="4"/>
  <c r="F118" i="4"/>
  <c r="E118" i="4"/>
  <c r="G118" i="4" s="1"/>
  <c r="D118" i="4"/>
  <c r="G117" i="4"/>
  <c r="F117" i="4"/>
  <c r="E117" i="4"/>
  <c r="D117" i="4"/>
  <c r="F116" i="4"/>
  <c r="E116" i="4"/>
  <c r="G116" i="4" s="1"/>
  <c r="D116" i="4"/>
  <c r="F115" i="4"/>
  <c r="E115" i="4"/>
  <c r="G115" i="4" s="1"/>
  <c r="D115" i="4"/>
  <c r="F114" i="4"/>
  <c r="E114" i="4"/>
  <c r="G114" i="4" s="1"/>
  <c r="D114" i="4"/>
  <c r="G113" i="4"/>
  <c r="F113" i="4"/>
  <c r="E113" i="4"/>
  <c r="D113" i="4"/>
  <c r="F112" i="4"/>
  <c r="E112" i="4"/>
  <c r="G112" i="4" s="1"/>
  <c r="D112" i="4"/>
  <c r="F111" i="4"/>
  <c r="E111" i="4"/>
  <c r="G111" i="4" s="1"/>
  <c r="D111" i="4"/>
  <c r="F110" i="4"/>
  <c r="E110" i="4"/>
  <c r="G110" i="4" s="1"/>
  <c r="D110" i="4"/>
  <c r="F109" i="4"/>
  <c r="E109" i="4"/>
  <c r="G109" i="4" s="1"/>
  <c r="D109" i="4"/>
  <c r="F108" i="4"/>
  <c r="E108" i="4"/>
  <c r="G108" i="4" s="1"/>
  <c r="D108" i="4"/>
  <c r="G107" i="4"/>
  <c r="F107" i="4"/>
  <c r="E107" i="4"/>
  <c r="D107" i="4"/>
  <c r="F106" i="4"/>
  <c r="E106" i="4"/>
  <c r="G106" i="4" s="1"/>
  <c r="D106" i="4"/>
  <c r="G105" i="4"/>
  <c r="F105" i="4"/>
  <c r="E105" i="4"/>
  <c r="D105" i="4"/>
  <c r="G104" i="4"/>
  <c r="F104" i="4"/>
  <c r="E104" i="4"/>
  <c r="D104" i="4"/>
  <c r="G103" i="4"/>
  <c r="F103" i="4"/>
  <c r="E103" i="4"/>
  <c r="D103" i="4"/>
  <c r="F102" i="4"/>
  <c r="E102" i="4"/>
  <c r="G102" i="4" s="1"/>
  <c r="D102" i="4"/>
  <c r="G101" i="4"/>
  <c r="F101" i="4"/>
  <c r="E101" i="4"/>
  <c r="D101" i="4"/>
  <c r="F100" i="4"/>
  <c r="E100" i="4"/>
  <c r="G100" i="4" s="1"/>
  <c r="D100" i="4"/>
  <c r="G99" i="4"/>
  <c r="F99" i="4"/>
  <c r="E99" i="4"/>
  <c r="D99" i="4"/>
  <c r="F98" i="4"/>
  <c r="E98" i="4"/>
  <c r="G98" i="4" s="1"/>
  <c r="D98" i="4"/>
  <c r="G97" i="4"/>
  <c r="F97" i="4"/>
  <c r="E97" i="4"/>
  <c r="D97" i="4"/>
  <c r="F96" i="4"/>
  <c r="E96" i="4"/>
  <c r="G96" i="4" s="1"/>
  <c r="D96" i="4"/>
  <c r="G95" i="4"/>
  <c r="F95" i="4"/>
  <c r="E95" i="4"/>
  <c r="D95" i="4"/>
  <c r="F94" i="4"/>
  <c r="E94" i="4"/>
  <c r="G94" i="4" s="1"/>
  <c r="D94" i="4"/>
  <c r="G93" i="4"/>
  <c r="F93" i="4"/>
  <c r="E93" i="4"/>
  <c r="D93" i="4"/>
  <c r="F92" i="4"/>
  <c r="E92" i="4"/>
  <c r="G92" i="4" s="1"/>
  <c r="D92" i="4"/>
  <c r="G91" i="4"/>
  <c r="F91" i="4"/>
  <c r="E91" i="4"/>
  <c r="D91" i="4"/>
  <c r="F90" i="4"/>
  <c r="E90" i="4"/>
  <c r="G90" i="4" s="1"/>
  <c r="D90" i="4"/>
  <c r="G89" i="4"/>
  <c r="F89" i="4"/>
  <c r="E89" i="4"/>
  <c r="D89" i="4"/>
  <c r="F88" i="4"/>
  <c r="E88" i="4"/>
  <c r="G88" i="4" s="1"/>
  <c r="D88" i="4"/>
  <c r="G87" i="4"/>
  <c r="F87" i="4"/>
  <c r="E87" i="4"/>
  <c r="D87" i="4"/>
  <c r="F86" i="4"/>
  <c r="E86" i="4"/>
  <c r="G86" i="4" s="1"/>
  <c r="D86" i="4"/>
  <c r="F85" i="4"/>
  <c r="E85" i="4"/>
  <c r="G85" i="4" s="1"/>
  <c r="D85" i="4"/>
  <c r="F84" i="4"/>
  <c r="E84" i="4"/>
  <c r="G84" i="4" s="1"/>
  <c r="D84" i="4"/>
  <c r="F83" i="4"/>
  <c r="E83" i="4"/>
  <c r="G83" i="4" s="1"/>
  <c r="D83" i="4"/>
  <c r="F82" i="4"/>
  <c r="E82" i="4"/>
  <c r="G82" i="4" s="1"/>
  <c r="D82" i="4"/>
  <c r="F81" i="4"/>
  <c r="E81" i="4"/>
  <c r="G81" i="4" s="1"/>
  <c r="D81" i="4"/>
  <c r="F80" i="4"/>
  <c r="E80" i="4"/>
  <c r="G80" i="4" s="1"/>
  <c r="D80" i="4"/>
  <c r="F79" i="4"/>
  <c r="E79" i="4"/>
  <c r="G79" i="4" s="1"/>
  <c r="D79" i="4"/>
  <c r="F78" i="4"/>
  <c r="E78" i="4"/>
  <c r="G78" i="4" s="1"/>
  <c r="D78" i="4"/>
  <c r="F77" i="4"/>
  <c r="E77" i="4"/>
  <c r="G77" i="4" s="1"/>
  <c r="D77" i="4"/>
  <c r="F76" i="4"/>
  <c r="E76" i="4"/>
  <c r="G76" i="4" s="1"/>
  <c r="D76" i="4"/>
  <c r="F75" i="4"/>
  <c r="E75" i="4"/>
  <c r="G75" i="4" s="1"/>
  <c r="D75" i="4"/>
  <c r="F74" i="4"/>
  <c r="E74" i="4"/>
  <c r="G74" i="4" s="1"/>
  <c r="D74" i="4"/>
  <c r="F73" i="4"/>
  <c r="E73" i="4"/>
  <c r="G73" i="4" s="1"/>
  <c r="D73" i="4"/>
  <c r="F72" i="4"/>
  <c r="E72" i="4"/>
  <c r="G72" i="4" s="1"/>
  <c r="D72" i="4"/>
  <c r="F71" i="4"/>
  <c r="E71" i="4"/>
  <c r="G71" i="4" s="1"/>
  <c r="D71" i="4"/>
  <c r="F70" i="4"/>
  <c r="E70" i="4"/>
  <c r="G70" i="4" s="1"/>
  <c r="D70" i="4"/>
  <c r="F69" i="4"/>
  <c r="E69" i="4"/>
  <c r="G69" i="4" s="1"/>
  <c r="D69" i="4"/>
  <c r="F68" i="4"/>
  <c r="E68" i="4"/>
  <c r="G68" i="4" s="1"/>
  <c r="D68" i="4"/>
  <c r="F67" i="4"/>
  <c r="E67" i="4"/>
  <c r="G67" i="4" s="1"/>
  <c r="D67" i="4"/>
  <c r="F66" i="4"/>
  <c r="E66" i="4"/>
  <c r="G66" i="4" s="1"/>
  <c r="D66" i="4"/>
  <c r="F65" i="4"/>
  <c r="E65" i="4"/>
  <c r="G65" i="4" s="1"/>
  <c r="D65" i="4"/>
  <c r="F64" i="4"/>
  <c r="E64" i="4"/>
  <c r="G64" i="4" s="1"/>
  <c r="D64" i="4"/>
  <c r="F63" i="4"/>
  <c r="E63" i="4"/>
  <c r="G63" i="4" s="1"/>
  <c r="D63" i="4"/>
  <c r="F62" i="4"/>
  <c r="E62" i="4"/>
  <c r="G62" i="4" s="1"/>
  <c r="D62" i="4"/>
  <c r="F61" i="4"/>
  <c r="E61" i="4"/>
  <c r="G61" i="4" s="1"/>
  <c r="D61" i="4"/>
  <c r="F60" i="4"/>
  <c r="E60" i="4"/>
  <c r="G60" i="4" s="1"/>
  <c r="D60" i="4"/>
  <c r="F59" i="4"/>
  <c r="E59" i="4"/>
  <c r="G59" i="4" s="1"/>
  <c r="D59" i="4"/>
  <c r="F58" i="4"/>
  <c r="E58" i="4"/>
  <c r="G58" i="4" s="1"/>
  <c r="D58" i="4"/>
  <c r="F57" i="4"/>
  <c r="E57" i="4"/>
  <c r="G57" i="4" s="1"/>
  <c r="D57" i="4"/>
  <c r="F56" i="4"/>
  <c r="E56" i="4"/>
  <c r="G56" i="4" s="1"/>
  <c r="D56" i="4"/>
  <c r="F55" i="4"/>
  <c r="E55" i="4"/>
  <c r="G55" i="4" s="1"/>
  <c r="D55" i="4"/>
  <c r="F54" i="4"/>
  <c r="E54" i="4"/>
  <c r="G54" i="4" s="1"/>
  <c r="D54" i="4"/>
  <c r="F53" i="4"/>
  <c r="E53" i="4"/>
  <c r="G53" i="4" s="1"/>
  <c r="D53" i="4"/>
  <c r="F52" i="4"/>
  <c r="E52" i="4"/>
  <c r="G52" i="4" s="1"/>
  <c r="D52" i="4"/>
  <c r="F51" i="4"/>
  <c r="E51" i="4"/>
  <c r="G51" i="4" s="1"/>
  <c r="D51" i="4"/>
  <c r="F50" i="4"/>
  <c r="E50" i="4"/>
  <c r="G50" i="4" s="1"/>
  <c r="D50" i="4"/>
  <c r="F49" i="4"/>
  <c r="E49" i="4"/>
  <c r="G49" i="4" s="1"/>
  <c r="D49" i="4"/>
  <c r="F48" i="4"/>
  <c r="E48" i="4"/>
  <c r="G48" i="4" s="1"/>
  <c r="D48" i="4"/>
  <c r="F47" i="4"/>
  <c r="E47" i="4"/>
  <c r="G47" i="4" s="1"/>
  <c r="D47" i="4"/>
  <c r="F46" i="4"/>
  <c r="E46" i="4"/>
  <c r="G46" i="4" s="1"/>
  <c r="D46" i="4"/>
  <c r="F45" i="4"/>
  <c r="E45" i="4"/>
  <c r="G45" i="4" s="1"/>
  <c r="D45" i="4"/>
  <c r="F44" i="4"/>
  <c r="E44" i="4"/>
  <c r="G44" i="4" s="1"/>
  <c r="D44" i="4"/>
  <c r="F43" i="4"/>
  <c r="E43" i="4"/>
  <c r="G43" i="4" s="1"/>
  <c r="D43" i="4"/>
  <c r="F42" i="4"/>
  <c r="E42" i="4"/>
  <c r="G42" i="4" s="1"/>
  <c r="D42" i="4"/>
  <c r="F41" i="4"/>
  <c r="E41" i="4"/>
  <c r="G41" i="4" s="1"/>
  <c r="D41" i="4"/>
  <c r="F40" i="4"/>
  <c r="E40" i="4"/>
  <c r="G40" i="4" s="1"/>
  <c r="D40" i="4"/>
  <c r="F39" i="4"/>
  <c r="E39" i="4"/>
  <c r="G39" i="4" s="1"/>
  <c r="D39" i="4"/>
  <c r="F38" i="4"/>
  <c r="E38" i="4"/>
  <c r="G38" i="4" s="1"/>
  <c r="D38" i="4"/>
  <c r="F37" i="4"/>
  <c r="E37" i="4"/>
  <c r="G37" i="4" s="1"/>
  <c r="D37" i="4"/>
  <c r="F36" i="4"/>
  <c r="E36" i="4"/>
  <c r="G36" i="4" s="1"/>
  <c r="D36" i="4"/>
  <c r="F35" i="4"/>
  <c r="E35" i="4"/>
  <c r="G35" i="4" s="1"/>
  <c r="D35" i="4"/>
  <c r="F34" i="4"/>
  <c r="E34" i="4"/>
  <c r="G34" i="4" s="1"/>
  <c r="D34" i="4"/>
  <c r="F33" i="4"/>
  <c r="E33" i="4"/>
  <c r="G33" i="4" s="1"/>
  <c r="D33" i="4"/>
  <c r="F32" i="4"/>
  <c r="E32" i="4"/>
  <c r="G32" i="4" s="1"/>
  <c r="D32" i="4"/>
  <c r="F31" i="4"/>
  <c r="E31" i="4"/>
  <c r="G31" i="4" s="1"/>
  <c r="D31" i="4"/>
  <c r="F30" i="4"/>
  <c r="E30" i="4"/>
  <c r="G30" i="4" s="1"/>
  <c r="D30" i="4"/>
  <c r="F29" i="4"/>
  <c r="E29" i="4"/>
  <c r="G29" i="4" s="1"/>
  <c r="D29" i="4"/>
  <c r="F28" i="4"/>
  <c r="E28" i="4"/>
  <c r="G28" i="4" s="1"/>
  <c r="D28" i="4"/>
  <c r="F27" i="4"/>
  <c r="E27" i="4"/>
  <c r="G27" i="4" s="1"/>
  <c r="D27" i="4"/>
  <c r="F26" i="4"/>
  <c r="E26" i="4"/>
  <c r="G26" i="4" s="1"/>
  <c r="D26" i="4"/>
  <c r="F25" i="4"/>
  <c r="E25" i="4"/>
  <c r="G25" i="4" s="1"/>
  <c r="D25" i="4"/>
  <c r="F24" i="4"/>
  <c r="E24" i="4"/>
  <c r="G24" i="4" s="1"/>
  <c r="D24" i="4"/>
  <c r="F23" i="4"/>
  <c r="E23" i="4"/>
  <c r="G23" i="4" s="1"/>
  <c r="D23" i="4"/>
  <c r="F22" i="4"/>
  <c r="E22" i="4"/>
  <c r="G22" i="4" s="1"/>
  <c r="D22" i="4"/>
  <c r="F21" i="4"/>
  <c r="E21" i="4"/>
  <c r="G21" i="4" s="1"/>
  <c r="D21" i="4"/>
  <c r="F20" i="4"/>
  <c r="E20" i="4"/>
  <c r="G20" i="4" s="1"/>
  <c r="D20" i="4"/>
  <c r="F19" i="4"/>
  <c r="E19" i="4"/>
  <c r="G19" i="4" s="1"/>
  <c r="D19" i="4"/>
  <c r="F18" i="4"/>
  <c r="E18" i="4"/>
  <c r="G18" i="4" s="1"/>
  <c r="D18" i="4"/>
  <c r="F17" i="4"/>
  <c r="E17" i="4"/>
  <c r="G17" i="4" s="1"/>
  <c r="D17" i="4"/>
  <c r="F16" i="4"/>
  <c r="E16" i="4"/>
  <c r="G16" i="4" s="1"/>
  <c r="D16" i="4"/>
  <c r="F15" i="4"/>
  <c r="E15" i="4"/>
  <c r="G15" i="4" s="1"/>
  <c r="D15" i="4"/>
  <c r="F14" i="4"/>
  <c r="E14" i="4"/>
  <c r="G14" i="4" s="1"/>
  <c r="D14" i="4"/>
  <c r="F13" i="4"/>
  <c r="E13" i="4"/>
  <c r="G13" i="4" s="1"/>
  <c r="D13" i="4"/>
  <c r="F12" i="4"/>
  <c r="E12" i="4"/>
  <c r="G12" i="4" s="1"/>
  <c r="D12" i="4"/>
  <c r="F11" i="4"/>
  <c r="E11" i="4"/>
  <c r="G11" i="4" s="1"/>
  <c r="D11" i="4"/>
  <c r="F10" i="4"/>
  <c r="E10" i="4"/>
  <c r="G10" i="4" s="1"/>
  <c r="D10" i="4"/>
  <c r="F9" i="4"/>
  <c r="E9" i="4"/>
  <c r="G9" i="4" s="1"/>
  <c r="D9" i="4"/>
  <c r="F8" i="4"/>
  <c r="E8" i="4"/>
  <c r="G8" i="4" s="1"/>
  <c r="D8" i="4"/>
  <c r="F7" i="4"/>
  <c r="E7" i="4"/>
  <c r="G7" i="4" s="1"/>
  <c r="D7" i="4"/>
  <c r="F6" i="4"/>
  <c r="E6" i="4"/>
  <c r="G6" i="4" s="1"/>
  <c r="D6" i="4"/>
  <c r="F5" i="4"/>
  <c r="E5" i="4"/>
  <c r="G5" i="4" s="1"/>
  <c r="D5" i="4"/>
  <c r="F4" i="4"/>
  <c r="E4" i="4"/>
  <c r="G4" i="4" s="1"/>
  <c r="D4" i="4"/>
  <c r="F3" i="4"/>
  <c r="E3" i="4"/>
  <c r="G3" i="4" s="1"/>
  <c r="D3" i="4"/>
  <c r="F2" i="4"/>
  <c r="E2" i="4"/>
  <c r="G2" i="4" s="1"/>
  <c r="D2" i="4"/>
  <c r="G401" i="4" l="1"/>
  <c r="G437" i="4"/>
  <c r="G452" i="4"/>
  <c r="G638" i="4"/>
  <c r="G654" i="4"/>
  <c r="G690" i="4"/>
  <c r="G582" i="4"/>
</calcChain>
</file>

<file path=xl/sharedStrings.xml><?xml version="1.0" encoding="utf-8"?>
<sst xmlns="http://schemas.openxmlformats.org/spreadsheetml/2006/main" count="2999" uniqueCount="1304">
  <si>
    <t>Metro Area</t>
  </si>
  <si>
    <t>Median Household Income</t>
  </si>
  <si>
    <t>Income Year</t>
  </si>
  <si>
    <t>Abilene, TX Metro Area</t>
  </si>
  <si>
    <t>Aguadilla, PR Metro Area</t>
  </si>
  <si>
    <t>Akron, OH Metro Area</t>
  </si>
  <si>
    <t>Albany, GA Metro Area</t>
  </si>
  <si>
    <t>Albany, OR Metro Area</t>
  </si>
  <si>
    <t>Albany-Schenectady-Troy, NY Metro Area</t>
  </si>
  <si>
    <t>Albuquerque, NM Metro Area</t>
  </si>
  <si>
    <t>Alexandria, LA Metro Area</t>
  </si>
  <si>
    <t>Allentown-Bethlehem-Easton, PA-NJ Metro Area</t>
  </si>
  <si>
    <t>Altoona, PA Metro Area</t>
  </si>
  <si>
    <t>Amarillo, TX Metro Area</t>
  </si>
  <si>
    <t>Ames, IA Metro Area</t>
  </si>
  <si>
    <t>Amherst Town-Northampton, MA Metro Area</t>
  </si>
  <si>
    <t>Anchorage, AK Metro Area</t>
  </si>
  <si>
    <t>Ann Arbor, MI Metro Area</t>
  </si>
  <si>
    <t>Anniston-Oxford, AL Metro Area</t>
  </si>
  <si>
    <t>Appleton, WI Metro Area</t>
  </si>
  <si>
    <t>Arecibo, PR Metro Area</t>
  </si>
  <si>
    <t>Asheville, NC Metro Area</t>
  </si>
  <si>
    <t>Athens-Clarke County, GA Metro Area</t>
  </si>
  <si>
    <t>Atlanta-Sandy Springs-Roswell, GA Metro Area</t>
  </si>
  <si>
    <t>Atlantic City-Hammonton, NJ Metro Area</t>
  </si>
  <si>
    <t>Auburn-Opelika, AL Metro Area</t>
  </si>
  <si>
    <t>Augusta-Richmond County, GA-SC Metro Area</t>
  </si>
  <si>
    <t>Austin-Round Rock-San Marcos, TX Metro Area</t>
  </si>
  <si>
    <t>Bakersfield-Delano, CA Metro Area</t>
  </si>
  <si>
    <t>Baltimore-Columbia-Towson, MD Metro Area</t>
  </si>
  <si>
    <t>Bangor, ME Metro Area</t>
  </si>
  <si>
    <t>Barnstable Town, MA Metro Area</t>
  </si>
  <si>
    <t>Baton Rouge, LA Metro Area</t>
  </si>
  <si>
    <t>Battle Creek, MI Metro Area</t>
  </si>
  <si>
    <t>Bay City, MI Metro Area</t>
  </si>
  <si>
    <t>Beaumont-Port Arthur, TX Metro Area</t>
  </si>
  <si>
    <t>Beckley, WV Metro Area</t>
  </si>
  <si>
    <t>Bellingham, WA Metro Area</t>
  </si>
  <si>
    <t>Bend, OR Metro Area</t>
  </si>
  <si>
    <t>Billings, MT Metro Area</t>
  </si>
  <si>
    <t>Binghamton, NY Metro Area</t>
  </si>
  <si>
    <t>Birmingham, AL Metro Area</t>
  </si>
  <si>
    <t>Bismarck, ND Metro Area</t>
  </si>
  <si>
    <t>Blacksburg-Christiansburg-Radford, VA Metro Area</t>
  </si>
  <si>
    <t>Bloomington, IL Metro Area</t>
  </si>
  <si>
    <t>Bloomington, IN Metro Area</t>
  </si>
  <si>
    <t>Boise City, ID Metro Area</t>
  </si>
  <si>
    <t>Boston-Cambridge-Newton, MA-NH Metro Area</t>
  </si>
  <si>
    <t>Boulder, CO Metro Area</t>
  </si>
  <si>
    <t>Bowling Green, KY Metro Area</t>
  </si>
  <si>
    <t>Bozeman, MT Metro Area</t>
  </si>
  <si>
    <t>Bremerton-Silverdale-Port Orchard, WA Metro Area</t>
  </si>
  <si>
    <t>Bridgeport-Stamford-Danbury, CT Metro Area</t>
  </si>
  <si>
    <t>Brownsville-Harlingen, TX Metro Area</t>
  </si>
  <si>
    <t>Brunswick-St. Simons, GA Metro Area</t>
  </si>
  <si>
    <t>Buffalo-Cheektowaga, NY Metro Area</t>
  </si>
  <si>
    <t>Burlington, NC Metro Area</t>
  </si>
  <si>
    <t>Burlington-South Burlington, VT Metro Area</t>
  </si>
  <si>
    <t>Canton-Massillon, OH Metro Area</t>
  </si>
  <si>
    <t>Cape Coral-Fort Myers, FL Metro Area</t>
  </si>
  <si>
    <t>Cape Girardeau, MO-IL Metro Area</t>
  </si>
  <si>
    <t>Carson City, NV Metro Area</t>
  </si>
  <si>
    <t>Casper, WY Metro Area</t>
  </si>
  <si>
    <t>Cedar Rapids, IA Metro Area</t>
  </si>
  <si>
    <t>Chambersburg, PA Metro Area</t>
  </si>
  <si>
    <t>Champaign-Urbana, IL Metro Area</t>
  </si>
  <si>
    <t>Charleston, WV Metro Area</t>
  </si>
  <si>
    <t>Charleston-North Charleston, SC Metro Area</t>
  </si>
  <si>
    <t>Charlotte-Concord-Gastonia, NC-SC Metro Area</t>
  </si>
  <si>
    <t>Charlottesville, VA Metro Area</t>
  </si>
  <si>
    <t>Chattanooga, TN-GA Metro Area</t>
  </si>
  <si>
    <t>Cheyenne, WY Metro Area</t>
  </si>
  <si>
    <t>Chicago-Naperville-Elgin, IL-IN Metro Area</t>
  </si>
  <si>
    <t>Chico, CA Metro Area</t>
  </si>
  <si>
    <t>Cincinnati, OH-KY-IN Metro Area</t>
  </si>
  <si>
    <t>Clarksville, TN-KY Metro Area</t>
  </si>
  <si>
    <t>Cleveland, OH Metro Area</t>
  </si>
  <si>
    <t>Cleveland, TN Metro Area</t>
  </si>
  <si>
    <t>Coeur d'Alene, ID Metro Area</t>
  </si>
  <si>
    <t>College Station-Bryan, TX Metro Area</t>
  </si>
  <si>
    <t>Colorado Springs, CO Metro Area</t>
  </si>
  <si>
    <t>Columbia, MO Metro Area</t>
  </si>
  <si>
    <t>Columbia, SC Metro Area</t>
  </si>
  <si>
    <t>Columbus, GA-AL Metro Area</t>
  </si>
  <si>
    <t>Columbus, IN Metro Area</t>
  </si>
  <si>
    <t>Columbus, OH Metro Area</t>
  </si>
  <si>
    <t>Corpus Christi, TX Metro Area</t>
  </si>
  <si>
    <t>Corvallis, OR Metro Area</t>
  </si>
  <si>
    <t>Crestview-Fort Walton Beach-Destin, FL Metro Area</t>
  </si>
  <si>
    <t>Dallas-Fort Worth-Arlington, TX Metro Area</t>
  </si>
  <si>
    <t>Dalton, GA Metro Area</t>
  </si>
  <si>
    <t>Daphne-Fairhope-Foley, AL Metro Area</t>
  </si>
  <si>
    <t>Davenport-Moline-Rock Island, IA-IL Metro Area</t>
  </si>
  <si>
    <t>Dayton-Kettering-Beavercreek, OH Metro Area</t>
  </si>
  <si>
    <t>Decatur, AL Metro Area</t>
  </si>
  <si>
    <t>Decatur, IL Metro Area</t>
  </si>
  <si>
    <t>Deltona-Daytona Beach-Ormond Beach, FL Metro Area</t>
  </si>
  <si>
    <t>Denver-Aurora-Centennial, CO Metro Area</t>
  </si>
  <si>
    <t>Des Moines-West Des Moines, IA Metro Area</t>
  </si>
  <si>
    <t>Detroit-Warren-Dearborn, MI Metro Area</t>
  </si>
  <si>
    <t>Dothan, AL Metro Area</t>
  </si>
  <si>
    <t>Dover, DE Metro Area</t>
  </si>
  <si>
    <t>Dubuque, IA Metro Area</t>
  </si>
  <si>
    <t>Duluth, MN-WI Metro Area</t>
  </si>
  <si>
    <t>Durham-Chapel Hill, NC Metro Area</t>
  </si>
  <si>
    <t>Eagle Pass, TX Metro Area</t>
  </si>
  <si>
    <t>Eau Claire, WI Metro Area</t>
  </si>
  <si>
    <t>El Centro, CA Metro Area</t>
  </si>
  <si>
    <t>Elizabethtown, KY Metro Area</t>
  </si>
  <si>
    <t>Elkhart-Goshen, IN Metro Area</t>
  </si>
  <si>
    <t>Elmira, NY Metro Area</t>
  </si>
  <si>
    <t>El Paso, TX Metro Area</t>
  </si>
  <si>
    <t>Enid, OK Metro Area</t>
  </si>
  <si>
    <t>Erie, PA Metro Area</t>
  </si>
  <si>
    <t>Eugene-Springfield, OR Metro Area</t>
  </si>
  <si>
    <t>Evansville, IN Metro Area</t>
  </si>
  <si>
    <t>Fairbanks-College, AK Metro Area</t>
  </si>
  <si>
    <t>Fargo, ND-MN Metro Area</t>
  </si>
  <si>
    <t>Farmington, NM Metro Area</t>
  </si>
  <si>
    <t>Fayetteville, NC Metro Area</t>
  </si>
  <si>
    <t>Fayetteville-Springdale-Rogers, AR Metro Area</t>
  </si>
  <si>
    <t>Flagstaff, AZ Metro Area</t>
  </si>
  <si>
    <t>Flint, MI Metro Area</t>
  </si>
  <si>
    <t>Florence, SC Metro Area</t>
  </si>
  <si>
    <t>Florence-Muscle Shoals, AL Metro Area</t>
  </si>
  <si>
    <t>Fond du Lac, WI Metro Area</t>
  </si>
  <si>
    <t>Fort Collins-Loveland, CO Metro Area</t>
  </si>
  <si>
    <t>Fort Smith, AR-OK Metro Area</t>
  </si>
  <si>
    <t>Fort Wayne, IN Metro Area</t>
  </si>
  <si>
    <t>Fresno, CA Metro Area</t>
  </si>
  <si>
    <t>Gadsden, AL Metro Area</t>
  </si>
  <si>
    <t>Gainesville, FL Metro Area</t>
  </si>
  <si>
    <t>Gainesville, GA Metro Area</t>
  </si>
  <si>
    <t>Gettysburg, PA Metro Area</t>
  </si>
  <si>
    <t>Glens Falls, NY Metro Area</t>
  </si>
  <si>
    <t>Goldsboro, NC Metro Area</t>
  </si>
  <si>
    <t>Grand Forks, ND-MN Metro Area</t>
  </si>
  <si>
    <t>Grand Island, NE Metro Area</t>
  </si>
  <si>
    <t>Grand Junction, CO Metro Area</t>
  </si>
  <si>
    <t>Grand Rapids-Wyoming-Kentwood, MI Metro Area</t>
  </si>
  <si>
    <t>Grants Pass, OR Metro Area</t>
  </si>
  <si>
    <t>Great Falls, MT Metro Area</t>
  </si>
  <si>
    <t>Greeley, CO Metro Area</t>
  </si>
  <si>
    <t>Green Bay, WI Metro Area</t>
  </si>
  <si>
    <t>Greensboro-High Point, NC Metro Area</t>
  </si>
  <si>
    <t>Greenville, NC Metro Area</t>
  </si>
  <si>
    <t>Greenville-Anderson-Greer, SC Metro Area</t>
  </si>
  <si>
    <t>Guayama, PR Metro Area</t>
  </si>
  <si>
    <t>Gulfport-Biloxi, MS Metro Area</t>
  </si>
  <si>
    <t>Hagerstown-Martinsburg, MD-WV Metro Area</t>
  </si>
  <si>
    <t>Hammond, LA Metro Area</t>
  </si>
  <si>
    <t>Hanford-Corcoran, CA Metro Area</t>
  </si>
  <si>
    <t>Harrisburg-Carlisle, PA Metro Area</t>
  </si>
  <si>
    <t>Harrisonburg, VA Metro Area</t>
  </si>
  <si>
    <t>Hartford-West Hartford-East Hartford, CT Metro Area</t>
  </si>
  <si>
    <t>Hattiesburg, MS Metro Area</t>
  </si>
  <si>
    <t>Helena, MT Metro Area</t>
  </si>
  <si>
    <t>Hickory-Lenoir-Morganton, NC Metro Area</t>
  </si>
  <si>
    <t>Hilton Head Island-Bluffton-Port Royal, SC Metro Area</t>
  </si>
  <si>
    <t>Hinesville, GA Metro Area</t>
  </si>
  <si>
    <t>Homosassa Springs, FL Metro Area</t>
  </si>
  <si>
    <t>Hot Springs, AR Metro Area</t>
  </si>
  <si>
    <t>Houma-Bayou Cane-Thibodaux, LA Metro Area</t>
  </si>
  <si>
    <t>Houston-Pasadena-The Woodlands, TX Metro Area</t>
  </si>
  <si>
    <t>Huntington-Ashland, WV-KY-OH Metro Area</t>
  </si>
  <si>
    <t>Huntsville, AL Metro Area</t>
  </si>
  <si>
    <t>Idaho Falls, ID Metro Area</t>
  </si>
  <si>
    <t>Indianapolis-Carmel-Greenwood, IN Metro Area</t>
  </si>
  <si>
    <t>Iowa City, IA Metro Area</t>
  </si>
  <si>
    <t>Ithaca, NY Metro Area</t>
  </si>
  <si>
    <t>Jackson, MI Metro Area</t>
  </si>
  <si>
    <t>Jackson, MS Metro Area</t>
  </si>
  <si>
    <t>Jackson, TN Metro Area</t>
  </si>
  <si>
    <t>Jacksonville, FL Metro Area</t>
  </si>
  <si>
    <t>Jacksonville, NC Metro Area</t>
  </si>
  <si>
    <t>Janesville-Beloit, WI Metro Area</t>
  </si>
  <si>
    <t>Jefferson City, MO Metro Area</t>
  </si>
  <si>
    <t>Johnson City, TN Metro Area</t>
  </si>
  <si>
    <t>Johnstown, PA Metro Area</t>
  </si>
  <si>
    <t>Jonesboro, AR Metro Area</t>
  </si>
  <si>
    <t>Joplin, MO-KS Metro Area</t>
  </si>
  <si>
    <t>Kahului-Wailuku, HI Metro Area</t>
  </si>
  <si>
    <t>Kalamazoo-Portage, MI Metro Area</t>
  </si>
  <si>
    <t>Kankakee, IL Metro Area</t>
  </si>
  <si>
    <t>Kansas City, MO-KS Metro Area</t>
  </si>
  <si>
    <t>Kennewick-Richland, WA Metro Area</t>
  </si>
  <si>
    <t>Kenosha, WI Metro Area</t>
  </si>
  <si>
    <t>Killeen-Temple, TX Metro Area</t>
  </si>
  <si>
    <t>Kingsport-Bristol, TN-VA Metro Area</t>
  </si>
  <si>
    <t>Kingston, NY Metro Area</t>
  </si>
  <si>
    <t>Kiryas Joel-Poughkeepsie-Newburgh, NY Metro Area</t>
  </si>
  <si>
    <t>Knoxville, TN Metro Area</t>
  </si>
  <si>
    <t>Kokomo, IN Metro Area</t>
  </si>
  <si>
    <t>La Crosse-Onalaska, WI-MN Metro Area</t>
  </si>
  <si>
    <t>Lafayette, LA Metro Area</t>
  </si>
  <si>
    <t>Lafayette-West Lafayette, IN Metro Area</t>
  </si>
  <si>
    <t>Lake Charles, LA Metro Area</t>
  </si>
  <si>
    <t>Lake Havasu City-Kingman, AZ Metro Area</t>
  </si>
  <si>
    <t>Lakeland-Winter Haven, FL Metro Area</t>
  </si>
  <si>
    <t>Lancaster, PA Metro Area</t>
  </si>
  <si>
    <t>Lansing-East Lansing, MI Metro Area</t>
  </si>
  <si>
    <t>Laredo, TX Metro Area</t>
  </si>
  <si>
    <t>Las Cruces, NM Metro Area</t>
  </si>
  <si>
    <t>Las Vegas-Henderson-North Las Vegas, NV Metro Area</t>
  </si>
  <si>
    <t>Lawrence, KS Metro Area</t>
  </si>
  <si>
    <t>Lawton, OK Metro Area</t>
  </si>
  <si>
    <t>Lebanon, PA Metro Area</t>
  </si>
  <si>
    <t>Lewiston, ID-WA Metro Area</t>
  </si>
  <si>
    <t>Lewiston-Auburn, ME Metro Area</t>
  </si>
  <si>
    <t>Lexington-Fayette, KY Metro Area</t>
  </si>
  <si>
    <t>Lexington Park, MD Metro Area</t>
  </si>
  <si>
    <t>Lima, OH Metro Area</t>
  </si>
  <si>
    <t>Lincoln, NE Metro Area</t>
  </si>
  <si>
    <t>Little Rock-North Little Rock-Conway, AR Metro Area</t>
  </si>
  <si>
    <t>Logan, UT-ID Metro Area</t>
  </si>
  <si>
    <t>Longview, TX Metro Area</t>
  </si>
  <si>
    <t>Longview-Kelso, WA Metro Area</t>
  </si>
  <si>
    <t>Los Angeles-Long Beach-Anaheim, CA Metro Area</t>
  </si>
  <si>
    <t>Louisville/Jefferson County, KY-IN Metro Area</t>
  </si>
  <si>
    <t>Lubbock, TX Metro Area</t>
  </si>
  <si>
    <t>Lynchburg, VA Metro Area</t>
  </si>
  <si>
    <t>Macon-Bibb County, GA Metro Area</t>
  </si>
  <si>
    <t>Madison, WI Metro Area</t>
  </si>
  <si>
    <t>Manchester-Nashua, NH Metro Area</t>
  </si>
  <si>
    <t>Manhattan, KS Metro Area</t>
  </si>
  <si>
    <t>Mankato, MN Metro Area</t>
  </si>
  <si>
    <t>Mansfield, OH Metro Area</t>
  </si>
  <si>
    <t>Mayagüez, PR Metro Area</t>
  </si>
  <si>
    <t>McAllen-Edinburg-Mission, TX Metro Area</t>
  </si>
  <si>
    <t>Medford, OR Metro Area</t>
  </si>
  <si>
    <t>Memphis, TN-MS-AR Metro Area</t>
  </si>
  <si>
    <t>Merced, CA Metro Area</t>
  </si>
  <si>
    <t>Miami-Fort Lauderdale-West Palm Beach, FL Metro Area</t>
  </si>
  <si>
    <t>Michigan City-La Porte, IN Metro Area</t>
  </si>
  <si>
    <t>Midland, MI Metro Area</t>
  </si>
  <si>
    <t>Midland, TX Metro Area</t>
  </si>
  <si>
    <t>Milwaukee-Waukesha, WI Metro Area</t>
  </si>
  <si>
    <t>Minneapolis-St. Paul-Bloomington, MN-WI Metro Area</t>
  </si>
  <si>
    <t>Minot, ND Metro Area</t>
  </si>
  <si>
    <t>Missoula, MT Metro Area</t>
  </si>
  <si>
    <t>Mobile, AL Metro Area</t>
  </si>
  <si>
    <t>Modesto, CA Metro Area</t>
  </si>
  <si>
    <t>Monroe, LA Metro Area</t>
  </si>
  <si>
    <t>Monroe, MI Metro Area</t>
  </si>
  <si>
    <t>Montgomery, AL Metro Area</t>
  </si>
  <si>
    <t>Morgantown, WV Metro Area</t>
  </si>
  <si>
    <t>Morristown, TN Metro Area</t>
  </si>
  <si>
    <t>Mount Vernon-Anacortes, WA Metro Area</t>
  </si>
  <si>
    <t>Muncie, IN Metro Area</t>
  </si>
  <si>
    <t>Muskegon-Norton Shores, MI Metro Area</t>
  </si>
  <si>
    <t>Myrtle Beach-Conway-North Myrtle Beach, SC Metro Area</t>
  </si>
  <si>
    <t>Napa, CA Metro Area</t>
  </si>
  <si>
    <t>Naples-Marco Island, FL Metro Area</t>
  </si>
  <si>
    <t>Nashville-Davidson--Murfreesboro--Franklin, TN Metro Area</t>
  </si>
  <si>
    <t>New Haven, CT Metro Area</t>
  </si>
  <si>
    <t>New Orleans-Metairie, LA Metro Area</t>
  </si>
  <si>
    <t>New York-Newark-Jersey City, NY-NJ Metro Area</t>
  </si>
  <si>
    <t>Niles, MI Metro Area</t>
  </si>
  <si>
    <t>North Port-Bradenton-Sarasota, FL Metro Area</t>
  </si>
  <si>
    <t>Norwich-New London-Willimantic, CT Metro Area</t>
  </si>
  <si>
    <t>Ocala, FL Metro Area</t>
  </si>
  <si>
    <t>Odessa, TX Metro Area</t>
  </si>
  <si>
    <t>Ogden, UT Metro Area</t>
  </si>
  <si>
    <t>Oklahoma City, OK Metro Area</t>
  </si>
  <si>
    <t>Olympia-Lacey-Tumwater, WA Metro Area</t>
  </si>
  <si>
    <t>Omaha, NE-IA Metro Area</t>
  </si>
  <si>
    <t>Orlando-Kissimmee-Sanford, FL Metro Area</t>
  </si>
  <si>
    <t>Oshkosh-Neenah, WI Metro Area</t>
  </si>
  <si>
    <t>Owensboro, KY Metro Area</t>
  </si>
  <si>
    <t>Oxnard-Thousand Oaks-Ventura, CA Metro Area</t>
  </si>
  <si>
    <t>Paducah, KY-IL Metro Area</t>
  </si>
  <si>
    <t>Palm Bay-Melbourne-Titusville, FL Metro Area</t>
  </si>
  <si>
    <t>Panama City-Panama City Beach, FL Metro Area</t>
  </si>
  <si>
    <t>Parkersburg-Vienna, WV Metro Area</t>
  </si>
  <si>
    <t>Pensacola-Ferry Pass-Brent, FL Metro Area</t>
  </si>
  <si>
    <t>Peoria, IL Metro Area</t>
  </si>
  <si>
    <t>Philadelphia-Camden-Wilmington, PA-NJ-DE-MD Metro Area</t>
  </si>
  <si>
    <t>Phoenix-Mesa-Chandler, AZ Metro Area</t>
  </si>
  <si>
    <t>Pinehurst-Southern Pines, NC Metro Area</t>
  </si>
  <si>
    <t>Pittsburgh, PA Metro Area</t>
  </si>
  <si>
    <t>Pittsfield, MA Metro Area</t>
  </si>
  <si>
    <t>Pocatello, ID Metro Area</t>
  </si>
  <si>
    <t>Ponce, PR Metro Area</t>
  </si>
  <si>
    <t>Portland-South Portland, ME Metro Area</t>
  </si>
  <si>
    <t>Portland-Vancouver-Hillsboro, OR-WA Metro Area</t>
  </si>
  <si>
    <t>Port St. Lucie, FL Metro Area</t>
  </si>
  <si>
    <t>Prescott Valley-Prescott, AZ Metro Area</t>
  </si>
  <si>
    <t>Providence-Warwick, RI-MA Metro Area</t>
  </si>
  <si>
    <t>Provo-Orem-Lehi, UT Metro Area</t>
  </si>
  <si>
    <t>Pueblo, CO Metro Area</t>
  </si>
  <si>
    <t>Punta Gorda, FL Metro Area</t>
  </si>
  <si>
    <t>Racine-Mount Pleasant, WI Metro Area</t>
  </si>
  <si>
    <t>Raleigh-Cary, NC Metro Area</t>
  </si>
  <si>
    <t>Rapid City, SD Metro Area</t>
  </si>
  <si>
    <t>Reading, PA Metro Area</t>
  </si>
  <si>
    <t>Redding, CA Metro Area</t>
  </si>
  <si>
    <t>Reno, NV Metro Area</t>
  </si>
  <si>
    <t>Richmond, VA Metro Area</t>
  </si>
  <si>
    <t>Riverside-San Bernardino-Ontario, CA Metro Area</t>
  </si>
  <si>
    <t>Roanoke, VA Metro Area</t>
  </si>
  <si>
    <t>Rochester, MN Metro Area</t>
  </si>
  <si>
    <t>Rochester, NY Metro Area</t>
  </si>
  <si>
    <t>Rockford, IL Metro Area</t>
  </si>
  <si>
    <t>Rocky Mount, NC Metro Area</t>
  </si>
  <si>
    <t>Rome, GA Metro Area</t>
  </si>
  <si>
    <t>Sacramento-Roseville-Folsom, CA Metro Area</t>
  </si>
  <si>
    <t>Saginaw, MI Metro Area</t>
  </si>
  <si>
    <t>St. Cloud, MN Metro Area</t>
  </si>
  <si>
    <t>St. George, UT Metro Area</t>
  </si>
  <si>
    <t>St. Joseph, MO-KS Metro Area</t>
  </si>
  <si>
    <t>St. Louis, MO-IL Metro Area</t>
  </si>
  <si>
    <t>Salem, OR Metro Area</t>
  </si>
  <si>
    <t>Salinas, CA Metro Area</t>
  </si>
  <si>
    <t>Salisbury, MD Metro Area</t>
  </si>
  <si>
    <t>Salt Lake City-Murray, UT Metro Area</t>
  </si>
  <si>
    <t>San Angelo, TX Metro Area</t>
  </si>
  <si>
    <t>San Antonio-New Braunfels, TX Metro Area</t>
  </si>
  <si>
    <t>San Diego-Chula Vista-Carlsbad, CA Metro Area</t>
  </si>
  <si>
    <t>Sandusky, OH Metro Area</t>
  </si>
  <si>
    <t>San Francisco-Oakland-Fremont, CA Metro Area</t>
  </si>
  <si>
    <t>San Jose-Sunnyvale-Santa Clara, CA Metro Area</t>
  </si>
  <si>
    <t>San Juan-Bayamón-Caguas, PR Metro Area</t>
  </si>
  <si>
    <t>San Luis Obispo-Paso Robles, CA Metro Area</t>
  </si>
  <si>
    <t>Santa Cruz-Watsonville, CA Metro Area</t>
  </si>
  <si>
    <t>Santa Fe, NM Metro Area</t>
  </si>
  <si>
    <t>Santa Maria-Santa Barbara, CA Metro Area</t>
  </si>
  <si>
    <t>Santa Rosa-Petaluma, CA Metro Area</t>
  </si>
  <si>
    <t>Savannah, GA Metro Area</t>
  </si>
  <si>
    <t>Scranton--Wilkes-Barre, PA Metro Area</t>
  </si>
  <si>
    <t>Seattle-Tacoma-Bellevue, WA Metro Area</t>
  </si>
  <si>
    <t>Sebastian-Vero Beach-West Vero Corridor, FL Metro Area</t>
  </si>
  <si>
    <t>Sebring, FL Metro Area</t>
  </si>
  <si>
    <t>Sheboygan, WI Metro Area</t>
  </si>
  <si>
    <t>Sherman-Denison, TX Metro Area</t>
  </si>
  <si>
    <t>Shreveport-Bossier City, LA Metro Area</t>
  </si>
  <si>
    <t>Sierra Vista-Douglas, AZ Metro Area</t>
  </si>
  <si>
    <t>Sioux City, IA-NE-SD Metro Area</t>
  </si>
  <si>
    <t>Sioux Falls, SD-MN Metro Area</t>
  </si>
  <si>
    <t>Slidell-Mandeville-Covington, LA Metro Area</t>
  </si>
  <si>
    <t>South Bend-Mishawaka, IN-MI Metro Area</t>
  </si>
  <si>
    <t>Spartanburg, SC Metro Area</t>
  </si>
  <si>
    <t>Spokane-Spokane Valley, WA Metro Area</t>
  </si>
  <si>
    <t>Springfield, IL Metro Area</t>
  </si>
  <si>
    <t>Springfield, MA Metro Area</t>
  </si>
  <si>
    <t>Springfield, MO Metro Area</t>
  </si>
  <si>
    <t>Springfield, OH Metro Area</t>
  </si>
  <si>
    <t>State College, PA Metro Area</t>
  </si>
  <si>
    <t>Staunton-Stuarts Draft, VA Metro Area</t>
  </si>
  <si>
    <t>Stockton-Lodi, CA Metro Area</t>
  </si>
  <si>
    <t>Sumter, SC Metro Area</t>
  </si>
  <si>
    <t>Syracuse, NY Metro Area</t>
  </si>
  <si>
    <t>Tallahassee, FL Metro Area</t>
  </si>
  <si>
    <t>Tampa-St. Petersburg-Clearwater, FL Metro Area</t>
  </si>
  <si>
    <t>Terre Haute, IN Metro Area</t>
  </si>
  <si>
    <t>Texarkana, TX-AR Metro Area</t>
  </si>
  <si>
    <t>Toledo, OH Metro Area</t>
  </si>
  <si>
    <t>Topeka, KS Metro Area</t>
  </si>
  <si>
    <t>Traverse City, MI Metro Area</t>
  </si>
  <si>
    <t>Trenton-Princeton, NJ Metro Area</t>
  </si>
  <si>
    <t>Tucson, AZ Metro Area</t>
  </si>
  <si>
    <t>Tulsa, OK Metro Area</t>
  </si>
  <si>
    <t>Tuscaloosa, AL Metro Area</t>
  </si>
  <si>
    <t>Twin Falls, ID Metro Area</t>
  </si>
  <si>
    <t>Tyler, TX Metro Area</t>
  </si>
  <si>
    <t>Urban Honolulu, HI Metro Area</t>
  </si>
  <si>
    <t>Utica-Rome, NY Metro Area</t>
  </si>
  <si>
    <t>Valdosta, GA Metro Area</t>
  </si>
  <si>
    <t>Vallejo, CA Metro Area</t>
  </si>
  <si>
    <t>Victoria, TX Metro Area</t>
  </si>
  <si>
    <t>Vineland, NJ Metro Area</t>
  </si>
  <si>
    <t>Virginia Beach-Chesapeake-Norfolk, VA-NC Metro Area</t>
  </si>
  <si>
    <t>Visalia, CA Metro Area</t>
  </si>
  <si>
    <t>Waco, TX Metro Area</t>
  </si>
  <si>
    <t>Walla Walla, WA Metro Area</t>
  </si>
  <si>
    <t>Warner Robins, GA Metro Area</t>
  </si>
  <si>
    <t>Washington-Arlington-Alexandria, DC-VA-MD-WV Metro Area</t>
  </si>
  <si>
    <t>Waterbury-Shelton, CT Metro Area</t>
  </si>
  <si>
    <t>Waterloo-Cedar Falls, IA Metro Area</t>
  </si>
  <si>
    <t>Watertown-Fort Drum, NY Metro Area</t>
  </si>
  <si>
    <t>Wausau, WI Metro Area</t>
  </si>
  <si>
    <t>Weirton-Steubenville, WV-OH Metro Area</t>
  </si>
  <si>
    <t>Wenatchee-East Wenatchee, WA Metro Area</t>
  </si>
  <si>
    <t>Wheeling, WV-OH Metro Area</t>
  </si>
  <si>
    <t>Wichita, KS Metro Area</t>
  </si>
  <si>
    <t>Wichita Falls, TX Metro Area</t>
  </si>
  <si>
    <t>Wildwood-The Villages, FL Metro Area</t>
  </si>
  <si>
    <t>Williamsport, PA Metro Area</t>
  </si>
  <si>
    <t>Wilmington, NC Metro Area</t>
  </si>
  <si>
    <t>Winchester, VA-WV Metro Area</t>
  </si>
  <si>
    <t>Winston-Salem, NC Metro Area</t>
  </si>
  <si>
    <t>Worcester, MA Metro Area</t>
  </si>
  <si>
    <t>Yakima, WA Metro Area</t>
  </si>
  <si>
    <t>York-Hanover, PA Metro Area</t>
  </si>
  <si>
    <t>Youngstown-Warren, OH Metro Area</t>
  </si>
  <si>
    <t>Yuba City, CA Metro Area</t>
  </si>
  <si>
    <t>Yuma, AZ Metro Area</t>
  </si>
  <si>
    <t>Zillow Metro</t>
  </si>
  <si>
    <t>Census Metro</t>
  </si>
  <si>
    <t>Match Status</t>
  </si>
  <si>
    <t>Zillow City</t>
  </si>
  <si>
    <t>Census Match Candidate</t>
  </si>
  <si>
    <t>Zillow State</t>
  </si>
  <si>
    <t>Match Check</t>
  </si>
  <si>
    <t>York, PA</t>
  </si>
  <si>
    <t>Philadelphia, PA</t>
  </si>
  <si>
    <t>Miami, FL</t>
  </si>
  <si>
    <t>New York, NY</t>
  </si>
  <si>
    <t>Los Angeles, CA</t>
  </si>
  <si>
    <t>Chicago, IL</t>
  </si>
  <si>
    <t>Dallas, TX</t>
  </si>
  <si>
    <t>Houston, TX</t>
  </si>
  <si>
    <t>Washington, DC</t>
  </si>
  <si>
    <t>Atlanta, GA</t>
  </si>
  <si>
    <t>Boston, MA</t>
  </si>
  <si>
    <t>Phoenix, AZ</t>
  </si>
  <si>
    <t>San Francisco, CA</t>
  </si>
  <si>
    <t>Riverside, CA</t>
  </si>
  <si>
    <t>Detroit, MI</t>
  </si>
  <si>
    <t>Seattle, WA</t>
  </si>
  <si>
    <t>Minneapolis, MN</t>
  </si>
  <si>
    <t>San Diego, CA</t>
  </si>
  <si>
    <t>Tampa, FL</t>
  </si>
  <si>
    <t>Denver, CO</t>
  </si>
  <si>
    <t>Baltimore, MD</t>
  </si>
  <si>
    <t>St. Louis, MO</t>
  </si>
  <si>
    <t>Orlando, FL</t>
  </si>
  <si>
    <t>Charlotte, NC</t>
  </si>
  <si>
    <t>San Antonio, TX</t>
  </si>
  <si>
    <t>Portland, OR</t>
  </si>
  <si>
    <t>Sacramento, CA</t>
  </si>
  <si>
    <t>Pittsburgh, PA</t>
  </si>
  <si>
    <t>Cincinnati, OH</t>
  </si>
  <si>
    <t>Austin, TX</t>
  </si>
  <si>
    <t>Las Vegas, NV</t>
  </si>
  <si>
    <t>Kansas City, MO</t>
  </si>
  <si>
    <t>Columbus, OH</t>
  </si>
  <si>
    <t>Indianapolis, IN</t>
  </si>
  <si>
    <t>Cleveland, OH</t>
  </si>
  <si>
    <t>San Jose, CA</t>
  </si>
  <si>
    <t>Nashville, TN</t>
  </si>
  <si>
    <t>Virginia Beach, VA</t>
  </si>
  <si>
    <t>Providence, RI</t>
  </si>
  <si>
    <t>Jacksonville, FL</t>
  </si>
  <si>
    <t>Milwaukee, WI</t>
  </si>
  <si>
    <t>Oklahoma City, OK</t>
  </si>
  <si>
    <t>Raleigh, NC</t>
  </si>
  <si>
    <t>Memphis, TN</t>
  </si>
  <si>
    <t>Richmond, VA</t>
  </si>
  <si>
    <t>Louisville, KY</t>
  </si>
  <si>
    <t>New Orleans, LA</t>
  </si>
  <si>
    <t>Salt Lake City, UT</t>
  </si>
  <si>
    <t>Hartford, CT</t>
  </si>
  <si>
    <t>Buffalo, NY</t>
  </si>
  <si>
    <t>Birmingham, AL</t>
  </si>
  <si>
    <t>Rochester, NY</t>
  </si>
  <si>
    <t>Grand Rapids, MI</t>
  </si>
  <si>
    <t>Tucson, AZ</t>
  </si>
  <si>
    <t>Urban Honolulu, HI</t>
  </si>
  <si>
    <t>Tulsa, OK</t>
  </si>
  <si>
    <t>Fresno, CA</t>
  </si>
  <si>
    <t>Worcester, MA</t>
  </si>
  <si>
    <t>Omaha, NE</t>
  </si>
  <si>
    <t>Bridgeport, CT</t>
  </si>
  <si>
    <t>Greenville, SC</t>
  </si>
  <si>
    <t>Albuquerque, NM</t>
  </si>
  <si>
    <t>Bakersfield, CA</t>
  </si>
  <si>
    <t>Albany, NY</t>
  </si>
  <si>
    <t>Knoxville, TN</t>
  </si>
  <si>
    <t>Baton Rouge, LA</t>
  </si>
  <si>
    <t>McAllen, TX</t>
  </si>
  <si>
    <t>New Haven, CT</t>
  </si>
  <si>
    <t>El Paso, TX</t>
  </si>
  <si>
    <t>Allentown, PA</t>
  </si>
  <si>
    <t>Oxnard, CA</t>
  </si>
  <si>
    <t>Columbia, SC</t>
  </si>
  <si>
    <t>North Port, FL</t>
  </si>
  <si>
    <t>Charleston, SC</t>
  </si>
  <si>
    <t>Greensboro, NC</t>
  </si>
  <si>
    <t>Stockton, CA</t>
  </si>
  <si>
    <t>Cape Coral, FL</t>
  </si>
  <si>
    <t>Boise City, ID</t>
  </si>
  <si>
    <t>Colorado Springs, CO</t>
  </si>
  <si>
    <t>Little Rock, AR</t>
  </si>
  <si>
    <t>Lakeland, FL</t>
  </si>
  <si>
    <t>Akron, OH</t>
  </si>
  <si>
    <t>Des Moines, IA</t>
  </si>
  <si>
    <t>Springfield, MA</t>
  </si>
  <si>
    <t>Ogden, UT</t>
  </si>
  <si>
    <t>Madison, WI</t>
  </si>
  <si>
    <t>Winston, NC</t>
  </si>
  <si>
    <t>Deltona, FL</t>
  </si>
  <si>
    <t>Syracuse, NY</t>
  </si>
  <si>
    <t>Provo, UT</t>
  </si>
  <si>
    <t>Toledo, OH</t>
  </si>
  <si>
    <t>Wichita, KS</t>
  </si>
  <si>
    <t>Durham, NC</t>
  </si>
  <si>
    <t>Augusta, GA</t>
  </si>
  <si>
    <t>Palm Bay, FL</t>
  </si>
  <si>
    <t>Jackson, MS</t>
  </si>
  <si>
    <t>Harrisburg, PA</t>
  </si>
  <si>
    <t>Spokane, WA</t>
  </si>
  <si>
    <t>Scranton, PA</t>
  </si>
  <si>
    <t>Chattanooga, TN</t>
  </si>
  <si>
    <t>Modesto, CA</t>
  </si>
  <si>
    <t>Lancaster, PA</t>
  </si>
  <si>
    <t>Portland, ME</t>
  </si>
  <si>
    <t>Youngstown, OH</t>
  </si>
  <si>
    <t>Lansing, MI</t>
  </si>
  <si>
    <t>Fayetteville, AR</t>
  </si>
  <si>
    <t>Fayetteville, NC</t>
  </si>
  <si>
    <t>Lexington, KY</t>
  </si>
  <si>
    <t>Pensacola, FL</t>
  </si>
  <si>
    <t>Santa Rosa, CA</t>
  </si>
  <si>
    <t>Reno, NV</t>
  </si>
  <si>
    <t>Huntsville, AL</t>
  </si>
  <si>
    <t>Port St. Lucie, FL</t>
  </si>
  <si>
    <t>Lafayette, LA</t>
  </si>
  <si>
    <t>Myrtle Beach, SC</t>
  </si>
  <si>
    <t>Springfield, MO</t>
  </si>
  <si>
    <t>Visalia, CA</t>
  </si>
  <si>
    <t>Killeen, TX</t>
  </si>
  <si>
    <t>Asheville, NC</t>
  </si>
  <si>
    <t>Vallejo, CA</t>
  </si>
  <si>
    <t>Santa Maria, CA</t>
  </si>
  <si>
    <t>Salinas, CA</t>
  </si>
  <si>
    <t>Salem, OR</t>
  </si>
  <si>
    <t>Mobile, AL</t>
  </si>
  <si>
    <t>Reading, PA</t>
  </si>
  <si>
    <t>Corpus Christi, TX</t>
  </si>
  <si>
    <t>Brownsville, TX</t>
  </si>
  <si>
    <t>Manchester, NH</t>
  </si>
  <si>
    <t>Fort Wayne, IN</t>
  </si>
  <si>
    <t>Gulfport, MS</t>
  </si>
  <si>
    <t>Salisbury, MD</t>
  </si>
  <si>
    <t>Flint, MI</t>
  </si>
  <si>
    <t>Peoria, IL</t>
  </si>
  <si>
    <t>Canton, OH</t>
  </si>
  <si>
    <t>Savannah, GA</t>
  </si>
  <si>
    <t>Anchorage, AK</t>
  </si>
  <si>
    <t>Beaumont, TX</t>
  </si>
  <si>
    <t>Shreveport, LA</t>
  </si>
  <si>
    <t>Trenton, NJ</t>
  </si>
  <si>
    <t>Montgomery, AL</t>
  </si>
  <si>
    <t>Davenport, IA</t>
  </si>
  <si>
    <t>Tallahassee, FL</t>
  </si>
  <si>
    <t>Eugene, OR</t>
  </si>
  <si>
    <t>Naples, FL</t>
  </si>
  <si>
    <t>Ann Arbor, MI</t>
  </si>
  <si>
    <t>Ocala, FL</t>
  </si>
  <si>
    <t>Hickory, NC</t>
  </si>
  <si>
    <t>Huntington, WV</t>
  </si>
  <si>
    <t>Fort Collins, CO</t>
  </si>
  <si>
    <t>Rockford, IL</t>
  </si>
  <si>
    <t>Lincoln, NE</t>
  </si>
  <si>
    <t>Gainesville, FL</t>
  </si>
  <si>
    <t>Boulder, CO</t>
  </si>
  <si>
    <t>Green Bay, WI</t>
  </si>
  <si>
    <t>Columbus, GA</t>
  </si>
  <si>
    <t>South Bend, IN</t>
  </si>
  <si>
    <t>Spartanburg, SC</t>
  </si>
  <si>
    <t>Greeley, CO</t>
  </si>
  <si>
    <t>Lubbock, TX</t>
  </si>
  <si>
    <t>Clarksville, TN</t>
  </si>
  <si>
    <t>Roanoke, VA</t>
  </si>
  <si>
    <t>Evansville, IN</t>
  </si>
  <si>
    <t>Kingsport, TN</t>
  </si>
  <si>
    <t>Kennewick, WA</t>
  </si>
  <si>
    <t>Utica, NY</t>
  </si>
  <si>
    <t>Hagerstown, MD</t>
  </si>
  <si>
    <t>Duluth, MN</t>
  </si>
  <si>
    <t>Olympia, WA</t>
  </si>
  <si>
    <t>Longview, TX</t>
  </si>
  <si>
    <t>Wilmington, NC</t>
  </si>
  <si>
    <t>San Luis Obispo, CA</t>
  </si>
  <si>
    <t>Crestview, FL</t>
  </si>
  <si>
    <t>Merced, CA</t>
  </si>
  <si>
    <t>Waco, TX</t>
  </si>
  <si>
    <t>Cedar Rapids, IA</t>
  </si>
  <si>
    <t>Atlantic City, NJ</t>
  </si>
  <si>
    <t>Bremerton, WA</t>
  </si>
  <si>
    <t>Sioux Falls, SD</t>
  </si>
  <si>
    <t>Santa Cruz, CA</t>
  </si>
  <si>
    <t>Erie, PA</t>
  </si>
  <si>
    <t>Norwich, CT</t>
  </si>
  <si>
    <t>Amarillo, TX</t>
  </si>
  <si>
    <t>Laredo, TX</t>
  </si>
  <si>
    <t>Tuscaloosa, AL</t>
  </si>
  <si>
    <t>College Station, TX</t>
  </si>
  <si>
    <t>Kalamazoo, MI</t>
  </si>
  <si>
    <t>Lynchburg, VA</t>
  </si>
  <si>
    <t>Charleston, WV</t>
  </si>
  <si>
    <t>Yakima, WA</t>
  </si>
  <si>
    <t>Fargo, ND</t>
  </si>
  <si>
    <t>Binghamton, NY</t>
  </si>
  <si>
    <t>Fort Smith, AR</t>
  </si>
  <si>
    <t>Appleton, WI</t>
  </si>
  <si>
    <t>Topeka, KS</t>
  </si>
  <si>
    <t>Macon, GA</t>
  </si>
  <si>
    <t>Tyler, TX</t>
  </si>
  <si>
    <t>Barnstable Town, MA</t>
  </si>
  <si>
    <t>Daphne, AL</t>
  </si>
  <si>
    <t>Bellingham, WA</t>
  </si>
  <si>
    <t>Burlington, VT</t>
  </si>
  <si>
    <t>Rochester, MN</t>
  </si>
  <si>
    <t>Lafayette, IN</t>
  </si>
  <si>
    <t>Champaign, IL</t>
  </si>
  <si>
    <t>Medford, OR</t>
  </si>
  <si>
    <t>Charlottesville, VA</t>
  </si>
  <si>
    <t>Lake Charles, LA</t>
  </si>
  <si>
    <t>Las Cruces, NM</t>
  </si>
  <si>
    <t>Chico, CA</t>
  </si>
  <si>
    <t>Hilton Head Island, SC</t>
  </si>
  <si>
    <t>Athens, GA</t>
  </si>
  <si>
    <t>Lake Havasu City, AZ</t>
  </si>
  <si>
    <t>Columbia, MO</t>
  </si>
  <si>
    <t>Springfield, IL</t>
  </si>
  <si>
    <t>Houma, LA</t>
  </si>
  <si>
    <t>Monroe, LA</t>
  </si>
  <si>
    <t>Elkhart, IN</t>
  </si>
  <si>
    <t>Johnson City, TN</t>
  </si>
  <si>
    <t>Yuma, AZ</t>
  </si>
  <si>
    <t>Gainesville, GA</t>
  </si>
  <si>
    <t>Jacksonville, NC</t>
  </si>
  <si>
    <t>Florence, SC</t>
  </si>
  <si>
    <t>Hilo, HI</t>
  </si>
  <si>
    <t>St. Cloud, MN</t>
  </si>
  <si>
    <t>Racine, WI</t>
  </si>
  <si>
    <t>Bend, OR</t>
  </si>
  <si>
    <t>Saginaw, MI</t>
  </si>
  <si>
    <t>Warner Robins, GA</t>
  </si>
  <si>
    <t>Terre Haute, IN</t>
  </si>
  <si>
    <t>Torrington, CT</t>
  </si>
  <si>
    <t>Punta Gorda, FL</t>
  </si>
  <si>
    <t>Billings, MT</t>
  </si>
  <si>
    <t>Redding, CA</t>
  </si>
  <si>
    <t>Kingston, NY</t>
  </si>
  <si>
    <t>Panama City, FL</t>
  </si>
  <si>
    <t>Joplin, MO</t>
  </si>
  <si>
    <t>Dover, DE</t>
  </si>
  <si>
    <t>El Centro, CA</t>
  </si>
  <si>
    <t>Jackson, TN</t>
  </si>
  <si>
    <t>Yuba City, CA</t>
  </si>
  <si>
    <t>Bowling Green, KY</t>
  </si>
  <si>
    <t>St. George, UT</t>
  </si>
  <si>
    <t>Muskegon, MI</t>
  </si>
  <si>
    <t>Abilene, TX</t>
  </si>
  <si>
    <t>Iowa City, IA</t>
  </si>
  <si>
    <t>Auburn, AL</t>
  </si>
  <si>
    <t>Midland, TX</t>
  </si>
  <si>
    <t>Bloomington, IL</t>
  </si>
  <si>
    <t>Hattiesburg, MS</t>
  </si>
  <si>
    <t>Oshkosh, WI</t>
  </si>
  <si>
    <t>Eau Claire, WI</t>
  </si>
  <si>
    <t>Greenville, NC</t>
  </si>
  <si>
    <t>Burlington, NC</t>
  </si>
  <si>
    <t>Waterloo, IA</t>
  </si>
  <si>
    <t>Coeur d'Alene, ID</t>
  </si>
  <si>
    <t>East Stroudsburg, PA</t>
  </si>
  <si>
    <t>Pueblo, CO</t>
  </si>
  <si>
    <t>Blacksburg, VA</t>
  </si>
  <si>
    <t>Wausau, WI</t>
  </si>
  <si>
    <t>Kahului, HI</t>
  </si>
  <si>
    <t>Janesville, WI</t>
  </si>
  <si>
    <t>Tupelo, MS</t>
  </si>
  <si>
    <t>Bloomington, IN</t>
  </si>
  <si>
    <t>Odessa, TX</t>
  </si>
  <si>
    <t>Jackson, MI</t>
  </si>
  <si>
    <t>State College, PA</t>
  </si>
  <si>
    <t>Sebastian, FL</t>
  </si>
  <si>
    <t>Madera, CA</t>
  </si>
  <si>
    <t>Decatur, AL</t>
  </si>
  <si>
    <t>Chambersburg, PA</t>
  </si>
  <si>
    <t>Vineland, NJ</t>
  </si>
  <si>
    <t>Idaho Falls, ID</t>
  </si>
  <si>
    <t>Grand Junction, CO</t>
  </si>
  <si>
    <t>Elizabethtown, KY</t>
  </si>
  <si>
    <t>Niles, MI</t>
  </si>
  <si>
    <t>Monroe, MI</t>
  </si>
  <si>
    <t>Santa Fe, NM</t>
  </si>
  <si>
    <t>Concord, NH</t>
  </si>
  <si>
    <t>Alexandria, LA</t>
  </si>
  <si>
    <t>Traverse City, MI</t>
  </si>
  <si>
    <t>Bangor, ME</t>
  </si>
  <si>
    <t>Homosassa Springs, FL</t>
  </si>
  <si>
    <t>Hanford, CA</t>
  </si>
  <si>
    <t>Jefferson City, MO</t>
  </si>
  <si>
    <t>Florence, AL</t>
  </si>
  <si>
    <t>Dothan, AL</t>
  </si>
  <si>
    <t>London, KY</t>
  </si>
  <si>
    <t>Albany, GA</t>
  </si>
  <si>
    <t>Sioux City, IA</t>
  </si>
  <si>
    <t>Wichita Falls, TX</t>
  </si>
  <si>
    <t>Texarkana, TX</t>
  </si>
  <si>
    <t>Valdosta, GA</t>
  </si>
  <si>
    <t>Logan, UT</t>
  </si>
  <si>
    <t>Flagstaff, AZ</t>
  </si>
  <si>
    <t>Rocky Mount, NC</t>
  </si>
  <si>
    <t>Pottsville, PA</t>
  </si>
  <si>
    <t>Dalton, GA</t>
  </si>
  <si>
    <t>Lebanon, PA</t>
  </si>
  <si>
    <t>Morristown, TN</t>
  </si>
  <si>
    <t>Winchester, VA</t>
  </si>
  <si>
    <t>Wheeling, WV</t>
  </si>
  <si>
    <t>Morgantown, WV</t>
  </si>
  <si>
    <t>La Crosse, WI</t>
  </si>
  <si>
    <t>Napa, CA</t>
  </si>
  <si>
    <t>Rapid City, SD</t>
  </si>
  <si>
    <t>Sumter, SC</t>
  </si>
  <si>
    <t>Eureka, CA</t>
  </si>
  <si>
    <t>Springfield, OH</t>
  </si>
  <si>
    <t>Harrisonburg, VA</t>
  </si>
  <si>
    <t>Battle Creek, MI</t>
  </si>
  <si>
    <t>Sherman, TX</t>
  </si>
  <si>
    <t>Manhattan, KS</t>
  </si>
  <si>
    <t>Carbondale, IL</t>
  </si>
  <si>
    <t>Johnstown, PA</t>
  </si>
  <si>
    <t>Jonesboro, AR</t>
  </si>
  <si>
    <t>Bismarck, ND</t>
  </si>
  <si>
    <t>Hammond, LA</t>
  </si>
  <si>
    <t>Pittsfield, MA</t>
  </si>
  <si>
    <t>Mount Vernon, WA</t>
  </si>
  <si>
    <t>Jamestown, NY</t>
  </si>
  <si>
    <t>The Villages, FL</t>
  </si>
  <si>
    <t>Albany, OR</t>
  </si>
  <si>
    <t>Glens Falls, NY</t>
  </si>
  <si>
    <t>Lawton, OK</t>
  </si>
  <si>
    <t>Cleveland, TN</t>
  </si>
  <si>
    <t>Sierra Vista, AZ</t>
  </si>
  <si>
    <t>Ames, IA</t>
  </si>
  <si>
    <t>Mansfield, OH</t>
  </si>
  <si>
    <t>Staunton, VA</t>
  </si>
  <si>
    <t>Augusta, ME</t>
  </si>
  <si>
    <t>Altoona, PA</t>
  </si>
  <si>
    <t>New Bern, NC</t>
  </si>
  <si>
    <t>Farmington, NM</t>
  </si>
  <si>
    <t>St. Joseph, MO</t>
  </si>
  <si>
    <t>San Angelo, TX</t>
  </si>
  <si>
    <t>Wenatchee, WA</t>
  </si>
  <si>
    <t>Owensboro, KY</t>
  </si>
  <si>
    <t>Holland, MI</t>
  </si>
  <si>
    <t>Lumberton, NC</t>
  </si>
  <si>
    <t>Lawrence, KS</t>
  </si>
  <si>
    <t>Goldsboro, NC</t>
  </si>
  <si>
    <t>Watertown, NY</t>
  </si>
  <si>
    <t>Sheboygan, WI</t>
  </si>
  <si>
    <t>Weirton, WV</t>
  </si>
  <si>
    <t>Missoula, MT</t>
  </si>
  <si>
    <t>Bozeman, MT</t>
  </si>
  <si>
    <t>Anniston, AL</t>
  </si>
  <si>
    <t>Beckley, WV</t>
  </si>
  <si>
    <t>Williamsport, PA</t>
  </si>
  <si>
    <t>Brunswick, GA</t>
  </si>
  <si>
    <t>California, MD</t>
  </si>
  <si>
    <t>Twin Falls, ID</t>
  </si>
  <si>
    <t>Cookeville, TN</t>
  </si>
  <si>
    <t>Muncie, IN</t>
  </si>
  <si>
    <t>Michigan City, IN</t>
  </si>
  <si>
    <t>Roseburg, OR</t>
  </si>
  <si>
    <t>Lewiston, ME</t>
  </si>
  <si>
    <t>Longview, WA</t>
  </si>
  <si>
    <t>Ogdensburg, NY</t>
  </si>
  <si>
    <t>Kankakee, IL</t>
  </si>
  <si>
    <t>Bluefield, WV</t>
  </si>
  <si>
    <t>Show Low, AZ</t>
  </si>
  <si>
    <t>Richmond, KY</t>
  </si>
  <si>
    <t>Tullahoma, TN</t>
  </si>
  <si>
    <t>Whitewater, WI</t>
  </si>
  <si>
    <t>Ithaca, NY</t>
  </si>
  <si>
    <t>Grand Forks, ND</t>
  </si>
  <si>
    <t>Decatur, IL</t>
  </si>
  <si>
    <t>LaGrange, GA</t>
  </si>
  <si>
    <t>Bay City, MI</t>
  </si>
  <si>
    <t>Fond du Lac, WI</t>
  </si>
  <si>
    <t>Gettysburg, PA</t>
  </si>
  <si>
    <t>Gadsden, AL</t>
  </si>
  <si>
    <t>Kalispell, MT</t>
  </si>
  <si>
    <t>Danville, VA</t>
  </si>
  <si>
    <t>Mankato, MN</t>
  </si>
  <si>
    <t>Lima, OH</t>
  </si>
  <si>
    <t>Salem, OH</t>
  </si>
  <si>
    <t>Truckee, CA</t>
  </si>
  <si>
    <t>Sebring, FL</t>
  </si>
  <si>
    <t>Cheyenne, WY</t>
  </si>
  <si>
    <t>Hot Springs, AR</t>
  </si>
  <si>
    <t>Adrian, MI</t>
  </si>
  <si>
    <t>Shelby, NC</t>
  </si>
  <si>
    <t>Dubuque, IA</t>
  </si>
  <si>
    <t>Meridian, MS</t>
  </si>
  <si>
    <t>Pinehurst, NC</t>
  </si>
  <si>
    <t>Paducah, KY</t>
  </si>
  <si>
    <t>Victoria, TX</t>
  </si>
  <si>
    <t>Rome, GA</t>
  </si>
  <si>
    <t>Sevierville, TN</t>
  </si>
  <si>
    <t>Moses Lake, WA</t>
  </si>
  <si>
    <t>Ashtabula, OH</t>
  </si>
  <si>
    <t>Cape Girardeau, MO</t>
  </si>
  <si>
    <t>Albertville, AL</t>
  </si>
  <si>
    <t>Fairbanks, AK</t>
  </si>
  <si>
    <t>Brainerd, MN</t>
  </si>
  <si>
    <t>Cumberland, MD</t>
  </si>
  <si>
    <t>Ocean City, NJ</t>
  </si>
  <si>
    <t>Corvallis, OR</t>
  </si>
  <si>
    <t>Pocatello, ID</t>
  </si>
  <si>
    <t>Corning, NY</t>
  </si>
  <si>
    <t>New Philadelphia, OH</t>
  </si>
  <si>
    <t>Sunbury, PA</t>
  </si>
  <si>
    <t>Ukiah, CA</t>
  </si>
  <si>
    <t>Hermiston, OR</t>
  </si>
  <si>
    <t>Clarksburg, WV</t>
  </si>
  <si>
    <t>Parkersburg, WV</t>
  </si>
  <si>
    <t>Beaver Dam, WI</t>
  </si>
  <si>
    <t>Pine Bluff, AR</t>
  </si>
  <si>
    <t>Grants Pass, OR</t>
  </si>
  <si>
    <t>Cullman, AL</t>
  </si>
  <si>
    <t>Lufkin, TX</t>
  </si>
  <si>
    <t>Zanesville, OH</t>
  </si>
  <si>
    <t>New Castle, PA</t>
  </si>
  <si>
    <t>Oak Harbor, WA</t>
  </si>
  <si>
    <t>Orangeburg, SC</t>
  </si>
  <si>
    <t>Watertown, WI</t>
  </si>
  <si>
    <t>Meadville, PA</t>
  </si>
  <si>
    <t>Elmira, NY</t>
  </si>
  <si>
    <t>Great Falls, MT</t>
  </si>
  <si>
    <t>Laurel, MS</t>
  </si>
  <si>
    <t>Russellville, AR</t>
  </si>
  <si>
    <t>Indiana, PA</t>
  </si>
  <si>
    <t>Midland, MI</t>
  </si>
  <si>
    <t>Kokomo, IN</t>
  </si>
  <si>
    <t>Bloomsburg, PA</t>
  </si>
  <si>
    <t>Opelousas, LA</t>
  </si>
  <si>
    <t>Helena, MT</t>
  </si>
  <si>
    <t>Key West, FL</t>
  </si>
  <si>
    <t>Talladega, AL</t>
  </si>
  <si>
    <t>Stillwater, OK</t>
  </si>
  <si>
    <t>Columbus, IN</t>
  </si>
  <si>
    <t>Athens, TX</t>
  </si>
  <si>
    <t>Centralia, WA</t>
  </si>
  <si>
    <t>Manitowoc, WI</t>
  </si>
  <si>
    <t>Hinesville, GA</t>
  </si>
  <si>
    <t>DuBois, PA</t>
  </si>
  <si>
    <t>Warsaw, IN</t>
  </si>
  <si>
    <t>Plattsburgh, NY</t>
  </si>
  <si>
    <t>Statesboro, GA</t>
  </si>
  <si>
    <t>Casper, WY</t>
  </si>
  <si>
    <t>Wilson, NC</t>
  </si>
  <si>
    <t>Glenwood Springs, CO</t>
  </si>
  <si>
    <t>Seneca, SC</t>
  </si>
  <si>
    <t>Minot, ND</t>
  </si>
  <si>
    <t>Olean, NY</t>
  </si>
  <si>
    <t>Chillicothe, OH</t>
  </si>
  <si>
    <t>Searcy, AR</t>
  </si>
  <si>
    <t>Grand Island, NE</t>
  </si>
  <si>
    <t>Port Angeles, WA</t>
  </si>
  <si>
    <t>Auburn, NY</t>
  </si>
  <si>
    <t>Huntsville, TX</t>
  </si>
  <si>
    <t>Keene, NH</t>
  </si>
  <si>
    <t>Heber, UT</t>
  </si>
  <si>
    <t>Quincy, IL</t>
  </si>
  <si>
    <t>Sandusky, OH</t>
  </si>
  <si>
    <t>Findlay, OH</t>
  </si>
  <si>
    <t>Frankfort, KY</t>
  </si>
  <si>
    <t>Danville, IL</t>
  </si>
  <si>
    <t>Aberdeen, WA</t>
  </si>
  <si>
    <t>Portsmouth, OH</t>
  </si>
  <si>
    <t>Somerset, PA</t>
  </si>
  <si>
    <t>Wisconsin Rapids, WI</t>
  </si>
  <si>
    <t>Jefferson, GA</t>
  </si>
  <si>
    <t>Kapaa, HI</t>
  </si>
  <si>
    <t>Palatka, FL</t>
  </si>
  <si>
    <t>Gallup, NM</t>
  </si>
  <si>
    <t>Hobbs, NM</t>
  </si>
  <si>
    <t>Shawnee, OK</t>
  </si>
  <si>
    <t>Mount Airy, NC</t>
  </si>
  <si>
    <t>Stevens Point, WI</t>
  </si>
  <si>
    <t>Greeneville, TN</t>
  </si>
  <si>
    <t>Greenwood, SC</t>
  </si>
  <si>
    <t>Lake City, FL</t>
  </si>
  <si>
    <t>Klamath Falls, OR</t>
  </si>
  <si>
    <t>Morehead City, NC</t>
  </si>
  <si>
    <t>Clearlake, CA</t>
  </si>
  <si>
    <t>Alamogordo, NM</t>
  </si>
  <si>
    <t>Roanoke Rapids, NC</t>
  </si>
  <si>
    <t>Farmington, MO</t>
  </si>
  <si>
    <t>Muskogee, OK</t>
  </si>
  <si>
    <t>Marion, IN</t>
  </si>
  <si>
    <t>Faribault, MN</t>
  </si>
  <si>
    <t>Richmond, IN</t>
  </si>
  <si>
    <t>Marquette, MI</t>
  </si>
  <si>
    <t>North Wilkesboro, NC</t>
  </si>
  <si>
    <t>Mount Pleasant, MI</t>
  </si>
  <si>
    <t>Rio Grande City, TX</t>
  </si>
  <si>
    <t>Marion, OH</t>
  </si>
  <si>
    <t>Baraboo, WI</t>
  </si>
  <si>
    <t>Red Bluff, CA</t>
  </si>
  <si>
    <t>Marinette, WI</t>
  </si>
  <si>
    <t>Roswell, NM</t>
  </si>
  <si>
    <t>Shelton, WA</t>
  </si>
  <si>
    <t>Dublin, GA</t>
  </si>
  <si>
    <t>Nacogdoches, TX</t>
  </si>
  <si>
    <t>Somerset, KY</t>
  </si>
  <si>
    <t>Coos Bay, OR</t>
  </si>
  <si>
    <t>Forest City, NC</t>
  </si>
  <si>
    <t>Martinsville, VA</t>
  </si>
  <si>
    <t>Rexburg, ID</t>
  </si>
  <si>
    <t>Lewiston, ID</t>
  </si>
  <si>
    <t>Laconia, NH</t>
  </si>
  <si>
    <t>Georgetown, SC</t>
  </si>
  <si>
    <t>Athens, OH</t>
  </si>
  <si>
    <t>Sanford, NC</t>
  </si>
  <si>
    <t>Enid, OK</t>
  </si>
  <si>
    <t>Mount Vernon, OH</t>
  </si>
  <si>
    <t>Walla Walla, WA</t>
  </si>
  <si>
    <t>Albemarle, NC</t>
  </si>
  <si>
    <t>Hutchinson, KS</t>
  </si>
  <si>
    <t>Hudson, NY</t>
  </si>
  <si>
    <t>Starkville, MS</t>
  </si>
  <si>
    <t>Carlsbad, NM</t>
  </si>
  <si>
    <t>Gillette, WY</t>
  </si>
  <si>
    <t>Sturgis, MI</t>
  </si>
  <si>
    <t>Rutland, VT</t>
  </si>
  <si>
    <t>Crossville, TN</t>
  </si>
  <si>
    <t>Sayre, PA</t>
  </si>
  <si>
    <t>Salina, KS</t>
  </si>
  <si>
    <t>Marietta, OH</t>
  </si>
  <si>
    <t>Fergus Falls, MN</t>
  </si>
  <si>
    <t>Barre, VT</t>
  </si>
  <si>
    <t>Fremont, OH</t>
  </si>
  <si>
    <t>Oneonta, NY</t>
  </si>
  <si>
    <t>Columbus, MS</t>
  </si>
  <si>
    <t>Norwalk, OH</t>
  </si>
  <si>
    <t>Batavia, NY</t>
  </si>
  <si>
    <t>Ardmore, OK</t>
  </si>
  <si>
    <t>Palestine, TX</t>
  </si>
  <si>
    <t>Fort Madison, IA</t>
  </si>
  <si>
    <t>Charleston, IL</t>
  </si>
  <si>
    <t>Fernley, NV</t>
  </si>
  <si>
    <t>Carson City, NV</t>
  </si>
  <si>
    <t>Eagle Pass, TX</t>
  </si>
  <si>
    <t>Calhoun, GA</t>
  </si>
  <si>
    <t>Cullowhee, NC</t>
  </si>
  <si>
    <t>Kearney, NE</t>
  </si>
  <si>
    <t>Fairmont, WV</t>
  </si>
  <si>
    <t>Ontario, OR</t>
  </si>
  <si>
    <t>Gaffney, SC</t>
  </si>
  <si>
    <t>Picayune, MS</t>
  </si>
  <si>
    <t>Sterling, IL</t>
  </si>
  <si>
    <t>Branson, MO</t>
  </si>
  <si>
    <t>Cedar City, UT</t>
  </si>
  <si>
    <t>Waycross, GA</t>
  </si>
  <si>
    <t>Oxford, MS</t>
  </si>
  <si>
    <t>Jasper, IN</t>
  </si>
  <si>
    <t>Edwards, CO</t>
  </si>
  <si>
    <t>Durango, CO</t>
  </si>
  <si>
    <t>Kinston, NC</t>
  </si>
  <si>
    <t>Sonora, CA</t>
  </si>
  <si>
    <t>Tiffin, OH</t>
  </si>
  <si>
    <t>Batesville, AR</t>
  </si>
  <si>
    <t>Point Pleasant, WV</t>
  </si>
  <si>
    <t>Elko, NV</t>
  </si>
  <si>
    <t>Danville, KY</t>
  </si>
  <si>
    <t>Glasgow, KY</t>
  </si>
  <si>
    <t>St. Marys, GA</t>
  </si>
  <si>
    <t>Boone, NC</t>
  </si>
  <si>
    <t>Warrensburg, MO</t>
  </si>
  <si>
    <t>Gloversville, NY</t>
  </si>
  <si>
    <t>Fort Leonard Wood, MO</t>
  </si>
  <si>
    <t>Poplar Bluff, MO</t>
  </si>
  <si>
    <t>Elizabeth City, NC</t>
  </si>
  <si>
    <t>Payson, AZ</t>
  </si>
  <si>
    <t>Athens, TN</t>
  </si>
  <si>
    <t>Enterprise, AL</t>
  </si>
  <si>
    <t>Ashland, OH</t>
  </si>
  <si>
    <t>Scottsboro, AL</t>
  </si>
  <si>
    <t>Milledgeville, GA</t>
  </si>
  <si>
    <t>Kerrville, TX</t>
  </si>
  <si>
    <t>Bartlesville, OK</t>
  </si>
  <si>
    <t>Platteville, WI</t>
  </si>
  <si>
    <t>Corsicana, TX</t>
  </si>
  <si>
    <t>Greenville, OH</t>
  </si>
  <si>
    <t>Rochelle, IL</t>
  </si>
  <si>
    <t>Douglas, GA</t>
  </si>
  <si>
    <t>Oil City, PA</t>
  </si>
  <si>
    <t>Mason City, IA</t>
  </si>
  <si>
    <t>Jacksonville, TX</t>
  </si>
  <si>
    <t>Galesburg, IL</t>
  </si>
  <si>
    <t>Pahrump, NV</t>
  </si>
  <si>
    <t>Paris, TX</t>
  </si>
  <si>
    <t>Winona, MN</t>
  </si>
  <si>
    <t>Newport, OR</t>
  </si>
  <si>
    <t>Morgan City, LA</t>
  </si>
  <si>
    <t>Shelbyville, TN</t>
  </si>
  <si>
    <t>Amsterdam, NY</t>
  </si>
  <si>
    <t>Ozark, AL</t>
  </si>
  <si>
    <t>Alice, TX</t>
  </si>
  <si>
    <t>Gardnerville Ranchos, NV</t>
  </si>
  <si>
    <t>Fort Polk South, LA</t>
  </si>
  <si>
    <t>CaÂ±on City, CO</t>
  </si>
  <si>
    <t>Natchez, MS</t>
  </si>
  <si>
    <t>New Castle, IN</t>
  </si>
  <si>
    <t>Clovis, NM</t>
  </si>
  <si>
    <t>Norfolk, NE</t>
  </si>
  <si>
    <t>Cadillac, MI</t>
  </si>
  <si>
    <t>Ruston, LA</t>
  </si>
  <si>
    <t>Sidney, OH</t>
  </si>
  <si>
    <t>Pullman, WA</t>
  </si>
  <si>
    <t>Malone, NY</t>
  </si>
  <si>
    <t>Del Rio, TX</t>
  </si>
  <si>
    <t>Blackfoot, ID</t>
  </si>
  <si>
    <t>Red Wing, MN</t>
  </si>
  <si>
    <t>Nogales, AZ</t>
  </si>
  <si>
    <t>Tahlequah, OK</t>
  </si>
  <si>
    <t>Kendallville, IN</t>
  </si>
  <si>
    <t>Montrose, CO</t>
  </si>
  <si>
    <t>Cortland, NY</t>
  </si>
  <si>
    <t>Mount Sterling, KY</t>
  </si>
  <si>
    <t>Clinton, IA</t>
  </si>
  <si>
    <t>Sandpoint, ID</t>
  </si>
  <si>
    <t>Bardstown, KY</t>
  </si>
  <si>
    <t>Wapakoneta, OH</t>
  </si>
  <si>
    <t>Plymouth, IN</t>
  </si>
  <si>
    <t>Lewistown, PA</t>
  </si>
  <si>
    <t>Bemidji, MN</t>
  </si>
  <si>
    <t>Bellefontaine, OH</t>
  </si>
  <si>
    <t>Seymour, IN</t>
  </si>
  <si>
    <t>Burley, ID</t>
  </si>
  <si>
    <t>Durant, OK</t>
  </si>
  <si>
    <t>Moultrie, GA</t>
  </si>
  <si>
    <t>Bogalusa, LA</t>
  </si>
  <si>
    <t>Cornelia, GA</t>
  </si>
  <si>
    <t>Hillsdale, MI</t>
  </si>
  <si>
    <t>Thomasville, GA</t>
  </si>
  <si>
    <t>Paragould, AR</t>
  </si>
  <si>
    <t>Greenville, MS</t>
  </si>
  <si>
    <t>Burlington, IA</t>
  </si>
  <si>
    <t>Madisonville, KY</t>
  </si>
  <si>
    <t>Menomonie, WI</t>
  </si>
  <si>
    <t>Shawano, WI</t>
  </si>
  <si>
    <t>Vicksburg, MS</t>
  </si>
  <si>
    <t>Bedford, IN</t>
  </si>
  <si>
    <t>Washington, NC</t>
  </si>
  <si>
    <t>Freeport, IL</t>
  </si>
  <si>
    <t>Harrison, AR</t>
  </si>
  <si>
    <t>Rolla, MO</t>
  </si>
  <si>
    <t>Coldwater, MI</t>
  </si>
  <si>
    <t>Marion, NC</t>
  </si>
  <si>
    <t>Huntingdon, PA</t>
  </si>
  <si>
    <t>Ellensburg, WA</t>
  </si>
  <si>
    <t>Ponca City, OK</t>
  </si>
  <si>
    <t>Lawrenceburg, TN</t>
  </si>
  <si>
    <t>McAlester, OK</t>
  </si>
  <si>
    <t>Mount Pleasant, TX</t>
  </si>
  <si>
    <t>Willmar, MN</t>
  </si>
  <si>
    <t>Rockingham, NC</t>
  </si>
  <si>
    <t>Muscatine, IA</t>
  </si>
  <si>
    <t>Lewisburg, PA</t>
  </si>
  <si>
    <t>Auburn, IN</t>
  </si>
  <si>
    <t>Duncan, OK</t>
  </si>
  <si>
    <t>Sedalia, MO</t>
  </si>
  <si>
    <t>Cedartown, GA</t>
  </si>
  <si>
    <t>Henderson, NC</t>
  </si>
  <si>
    <t>Aberdeen, SD</t>
  </si>
  <si>
    <t>Rock Springs, WY</t>
  </si>
  <si>
    <t>Garden City, KS</t>
  </si>
  <si>
    <t>Stephenville, TX</t>
  </si>
  <si>
    <t>Celina, OH</t>
  </si>
  <si>
    <t>Wilmington, OH</t>
  </si>
  <si>
    <t>Bucyrus, OH</t>
  </si>
  <si>
    <t>Alma, MI</t>
  </si>
  <si>
    <t>El Campo, TX</t>
  </si>
  <si>
    <t>Mountain Home, AR</t>
  </si>
  <si>
    <t>Gainesville, TX</t>
  </si>
  <si>
    <t>Tifton, GA</t>
  </si>
  <si>
    <t>Blytheville, AR</t>
  </si>
  <si>
    <t>McMinnville, TN</t>
  </si>
  <si>
    <t>Astoria, OR</t>
  </si>
  <si>
    <t>Bradford, PA</t>
  </si>
  <si>
    <t>EspaÂ±ola, NM</t>
  </si>
  <si>
    <t>McComb, MS</t>
  </si>
  <si>
    <t>Big Stone Gap, VA</t>
  </si>
  <si>
    <t>Marshalltown, IA</t>
  </si>
  <si>
    <t>Big Rapids, MI</t>
  </si>
  <si>
    <t>Austin, MN</t>
  </si>
  <si>
    <t>Selinsgrove, PA</t>
  </si>
  <si>
    <t>West Plains, MO</t>
  </si>
  <si>
    <t>Okeechobee, FL</t>
  </si>
  <si>
    <t>Houghton, MI</t>
  </si>
  <si>
    <t>Moscow, ID</t>
  </si>
  <si>
    <t>Clewiston, FL</t>
  </si>
  <si>
    <t>Riverton, WY</t>
  </si>
  <si>
    <t>El Dorado, AR</t>
  </si>
  <si>
    <t>Selma, AL</t>
  </si>
  <si>
    <t>Pittsburg, KS</t>
  </si>
  <si>
    <t>Hannibal, MO</t>
  </si>
  <si>
    <t>Warren, PA</t>
  </si>
  <si>
    <t>Alexandria, MN</t>
  </si>
  <si>
    <t>Urbana, OH</t>
  </si>
  <si>
    <t>Greenwood, MS</t>
  </si>
  <si>
    <t>Cambridge, OH</t>
  </si>
  <si>
    <t>Williston, ND</t>
  </si>
  <si>
    <t>Defiance, OH</t>
  </si>
  <si>
    <t>Sikeston, MO</t>
  </si>
  <si>
    <t>Safford, AZ</t>
  </si>
  <si>
    <t>Jacksonville, IL</t>
  </si>
  <si>
    <t>Ada, OK</t>
  </si>
  <si>
    <t>Brownwood, TX</t>
  </si>
  <si>
    <t>Crawfordsville, IN</t>
  </si>
  <si>
    <t>Logansport, IN</t>
  </si>
  <si>
    <t>Scottsbluff, NE</t>
  </si>
  <si>
    <t>Natchitoches, LA</t>
  </si>
  <si>
    <t>Newberry, SC</t>
  </si>
  <si>
    <t>Lock Haven, PA</t>
  </si>
  <si>
    <t>Centralia, IL</t>
  </si>
  <si>
    <t>Easton, MD</t>
  </si>
  <si>
    <t>Owatonna, MN</t>
  </si>
  <si>
    <t>Mount Vernon, IL</t>
  </si>
  <si>
    <t>Laramie, WY</t>
  </si>
  <si>
    <t>Murray, KY</t>
  </si>
  <si>
    <t>Fremont, NE</t>
  </si>
  <si>
    <t>Bennington, VT</t>
  </si>
  <si>
    <t>Sault Ste. Marie, MI</t>
  </si>
  <si>
    <t>Campbellsville, KY</t>
  </si>
  <si>
    <t>Dyersburg, TN</t>
  </si>
  <si>
    <t>Escanaba, MI</t>
  </si>
  <si>
    <t>Mayfield, KY</t>
  </si>
  <si>
    <t>Kill Devil Hills, NC</t>
  </si>
  <si>
    <t>Sulphur Springs, TX</t>
  </si>
  <si>
    <t>Hutchinson, MN</t>
  </si>
  <si>
    <t>Coshocton, OH</t>
  </si>
  <si>
    <t>Huntington, IN</t>
  </si>
  <si>
    <t>DeRidder, LA</t>
  </si>
  <si>
    <t>Vincennes, IN</t>
  </si>
  <si>
    <t>Bay City, TX</t>
  </si>
  <si>
    <t>North Platte, NE</t>
  </si>
  <si>
    <t>Peru, IN</t>
  </si>
  <si>
    <t>Pontiac, IL</t>
  </si>
  <si>
    <t>Lebanon, MO</t>
  </si>
  <si>
    <t>Newport, TN</t>
  </si>
  <si>
    <t>Decatur, IN</t>
  </si>
  <si>
    <t>Vidalia, GA</t>
  </si>
  <si>
    <t>Brenham, TX</t>
  </si>
  <si>
    <t>Vernal, UT</t>
  </si>
  <si>
    <t>Ottumwa, IA</t>
  </si>
  <si>
    <t>Butte, MT</t>
  </si>
  <si>
    <t>Corinth, MS</t>
  </si>
  <si>
    <t>Brookhaven, MS</t>
  </si>
  <si>
    <t>Emporia, KS</t>
  </si>
  <si>
    <t>Jackson, WY</t>
  </si>
  <si>
    <t>Big Spring, TX</t>
  </si>
  <si>
    <t>Effingham, IL</t>
  </si>
  <si>
    <t>Dodge City, KS</t>
  </si>
  <si>
    <t>Watertown, SD</t>
  </si>
  <si>
    <t>Angola, IN</t>
  </si>
  <si>
    <t>Dixon, IL</t>
  </si>
  <si>
    <t>Laurinburg, NC</t>
  </si>
  <si>
    <t>Taos, NM</t>
  </si>
  <si>
    <t>Brookings, SD</t>
  </si>
  <si>
    <t>Americus, GA</t>
  </si>
  <si>
    <t>Columbus, NE</t>
  </si>
  <si>
    <t>Taylorville, IL</t>
  </si>
  <si>
    <t>Arcadia, FL</t>
  </si>
  <si>
    <t>Lewisburg, TN</t>
  </si>
  <si>
    <t>Seneca Falls, NY</t>
  </si>
  <si>
    <t>Dickinson, ND</t>
  </si>
  <si>
    <t>Washington, IN</t>
  </si>
  <si>
    <t>Troy, AL</t>
  </si>
  <si>
    <t>Malvern, AR</t>
  </si>
  <si>
    <t>Frankfort, IN</t>
  </si>
  <si>
    <t>Madison, IN</t>
  </si>
  <si>
    <t>Brevard, NC</t>
  </si>
  <si>
    <t>Susanville, CA</t>
  </si>
  <si>
    <t>Martin, TN</t>
  </si>
  <si>
    <t>Plainview, TX</t>
  </si>
  <si>
    <t>Dayton, TN</t>
  </si>
  <si>
    <t>Jackson, OH</t>
  </si>
  <si>
    <t>Cambridge, MD</t>
  </si>
  <si>
    <t>Paris, TN</t>
  </si>
  <si>
    <t>Juneau, AK</t>
  </si>
  <si>
    <t>Coffeyville, KS</t>
  </si>
  <si>
    <t>Las Vegas, NM</t>
  </si>
  <si>
    <t>Berlin, NH</t>
  </si>
  <si>
    <t>Cleveland, MS</t>
  </si>
  <si>
    <t>Hastings, NE</t>
  </si>
  <si>
    <t>Beeville, TX</t>
  </si>
  <si>
    <t>Kingsville, TX</t>
  </si>
  <si>
    <t>Wabash, IN</t>
  </si>
  <si>
    <t>Breckenridge, CO</t>
  </si>
  <si>
    <t>Albert Lea, MN</t>
  </si>
  <si>
    <t>Sheridan, WY</t>
  </si>
  <si>
    <t>Union City, TN</t>
  </si>
  <si>
    <t>Miami, OK</t>
  </si>
  <si>
    <t>Iron Mountain, MI</t>
  </si>
  <si>
    <t>Jesup, GA</t>
  </si>
  <si>
    <t>McPherson, KS</t>
  </si>
  <si>
    <t>Kirksville, MO</t>
  </si>
  <si>
    <t>Ludington, MI</t>
  </si>
  <si>
    <t>Bainbridge, GA</t>
  </si>
  <si>
    <t>Alpena, MI</t>
  </si>
  <si>
    <t>Washington Court House, OH</t>
  </si>
  <si>
    <t>Hays, KS</t>
  </si>
  <si>
    <t>Fort Morgan, CO</t>
  </si>
  <si>
    <t>Van Wert, OH</t>
  </si>
  <si>
    <t>Kennett, MO</t>
  </si>
  <si>
    <t>Weatherford, OK</t>
  </si>
  <si>
    <t>Mountain Home, ID</t>
  </si>
  <si>
    <t>Mineral Wells, TX</t>
  </si>
  <si>
    <t>Lincoln, IL</t>
  </si>
  <si>
    <t>Silver City, NM</t>
  </si>
  <si>
    <t>Elkins, WV</t>
  </si>
  <si>
    <t>Macomb, IL</t>
  </si>
  <si>
    <t>Camden, AR</t>
  </si>
  <si>
    <t>Crescent City, CA</t>
  </si>
  <si>
    <t>North Vernon, IN</t>
  </si>
  <si>
    <t>Thomaston, GA</t>
  </si>
  <si>
    <t>Grants, NM</t>
  </si>
  <si>
    <t>Bennettsville, SC</t>
  </si>
  <si>
    <t>Fredericksburg, TX</t>
  </si>
  <si>
    <t>Toccoa, GA</t>
  </si>
  <si>
    <t>The Dalles, OR</t>
  </si>
  <si>
    <t>Greensburg, IN</t>
  </si>
  <si>
    <t>Indianola, MS</t>
  </si>
  <si>
    <t>La Grande, OR</t>
  </si>
  <si>
    <t>Ottawa, KS</t>
  </si>
  <si>
    <t>New Ulm, MN</t>
  </si>
  <si>
    <t>Lexington, NE</t>
  </si>
  <si>
    <t>Great Bend, KS</t>
  </si>
  <si>
    <t>Spearfish, SD</t>
  </si>
  <si>
    <t>Wauchula, FL</t>
  </si>
  <si>
    <t>Marshall, MN</t>
  </si>
  <si>
    <t>Deming, NM</t>
  </si>
  <si>
    <t>Mexico, MO</t>
  </si>
  <si>
    <t>Fallon, NV</t>
  </si>
  <si>
    <t>Altus, OK</t>
  </si>
  <si>
    <t>Uvalde, TX</t>
  </si>
  <si>
    <t>Hailey, ID</t>
  </si>
  <si>
    <t>Steamboat Springs, CO</t>
  </si>
  <si>
    <t>Summerville, GA</t>
  </si>
  <si>
    <t>Moberly, MO</t>
  </si>
  <si>
    <t>Middlesborough, KY</t>
  </si>
  <si>
    <t>Woodward, OK</t>
  </si>
  <si>
    <t>Prineville, OR</t>
  </si>
  <si>
    <t>Hood River, OR</t>
  </si>
  <si>
    <t>Forrest City, AR</t>
  </si>
  <si>
    <t>Connersville, IN</t>
  </si>
  <si>
    <t>Mitchell, SD</t>
  </si>
  <si>
    <t>Marshall, MO</t>
  </si>
  <si>
    <t>Brookings, OR</t>
  </si>
  <si>
    <t>Yankton, SD</t>
  </si>
  <si>
    <t>Wahpeton, ND</t>
  </si>
  <si>
    <t>Magnolia, AR</t>
  </si>
  <si>
    <t>Elk City, OK</t>
  </si>
  <si>
    <t>Liberal, KS</t>
  </si>
  <si>
    <t>Worthington, MN</t>
  </si>
  <si>
    <t>Oskaloosa, IA</t>
  </si>
  <si>
    <t>Pampa, TX</t>
  </si>
  <si>
    <t>Clarksdale, MS</t>
  </si>
  <si>
    <t>Sterling, CO</t>
  </si>
  <si>
    <t>Beatrice, NE</t>
  </si>
  <si>
    <t>Jamestown, ND</t>
  </si>
  <si>
    <t>Levelland, TX</t>
  </si>
  <si>
    <t>Grenada, MS</t>
  </si>
  <si>
    <t>Maryville, MO</t>
  </si>
  <si>
    <t>Arkadelphia, AR</t>
  </si>
  <si>
    <t>Dumas, TX</t>
  </si>
  <si>
    <t>Guymon, OK</t>
  </si>
  <si>
    <t>Borger, TX</t>
  </si>
  <si>
    <t>Pierre, SD</t>
  </si>
  <si>
    <t>Huron, SD</t>
  </si>
  <si>
    <t>Storm Lake, IA</t>
  </si>
  <si>
    <t>Cordele, GA</t>
  </si>
  <si>
    <t>Evanston, WY</t>
  </si>
  <si>
    <t>Raymondville, TX</t>
  </si>
  <si>
    <t>Port Lavaca, TX</t>
  </si>
  <si>
    <t>Othello, WA</t>
  </si>
  <si>
    <t>Vineyard Haven, MA</t>
  </si>
  <si>
    <t>Parsons, KS</t>
  </si>
  <si>
    <t>Price, UT</t>
  </si>
  <si>
    <t>Portales, NM</t>
  </si>
  <si>
    <t>Los Alamos, NM</t>
  </si>
  <si>
    <t>Hereford, TX</t>
  </si>
  <si>
    <t>Andrews, TX</t>
  </si>
  <si>
    <t>Spirit Lake, IA</t>
  </si>
  <si>
    <t>Fitzgerald, GA</t>
  </si>
  <si>
    <t>Winnemucca, NV</t>
  </si>
  <si>
    <t>Maysville, KY</t>
  </si>
  <si>
    <t>Snyder, TX</t>
  </si>
  <si>
    <t>Helena, AR</t>
  </si>
  <si>
    <t>Spencer, IA</t>
  </si>
  <si>
    <t>Atchison, KS</t>
  </si>
  <si>
    <t>Fairfield, IA</t>
  </si>
  <si>
    <t>Vermillion, SD</t>
  </si>
  <si>
    <t>Sweetwater, TX</t>
  </si>
  <si>
    <t>Pecos, TX</t>
  </si>
  <si>
    <t>Zapata, TX</t>
  </si>
  <si>
    <t>Ketchikan, AK</t>
  </si>
  <si>
    <t>Craig, CO</t>
  </si>
  <si>
    <t>Vernon, TX</t>
  </si>
  <si>
    <t>Lamesa, TX</t>
  </si>
  <si>
    <t>Verified</t>
  </si>
  <si>
    <t>High Confidence</t>
  </si>
  <si>
    <t>No Census Metro Match</t>
  </si>
  <si>
    <t>Suggested Zillow Candidate</t>
  </si>
  <si>
    <t>Review Note</t>
  </si>
  <si>
    <t>No reliable Zillow alias found</t>
  </si>
  <si>
    <t>Strong alias candidate — 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</si>
</sst>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_1" displayName="Table1_1" ref="A1:C394" totalsRowShown="0">
  <autoFilter ref="A1:C394" xr:uid="{00000000-0009-0000-0100-000002000000}"/>
  <tableColumns count="3">
    <tableColumn id="1" xr3:uid="{00000000-0010-0000-0000-000001000000}" name="Metro Area" dataDxfId="4"/>
    <tableColumn id="2" xr3:uid="{00000000-0010-0000-0000-000002000000}" name="Median Household Income"/>
    <tableColumn id="3" xr3:uid="{00000000-0010-0000-0000-000003000000}" name="Income Year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A1:G895" totalsRowShown="0">
  <autoFilter ref="A1:G895" xr:uid="{00000000-0009-0000-0100-000001000000}">
    <filterColumn colId="6">
      <filters>
        <filter val="Review"/>
      </filters>
    </filterColumn>
  </autoFilter>
  <tableColumns count="7">
    <tableColumn id="1" xr3:uid="{00000000-0010-0000-0100-000001000000}" name="Zillow Metro"/>
    <tableColumn id="2" xr3:uid="{00000000-0010-0000-0100-000002000000}" name="Census Metro"/>
    <tableColumn id="3" xr3:uid="{00000000-0010-0000-0100-000003000000}" name="Match Status"/>
    <tableColumn id="4" xr3:uid="{00000000-0010-0000-0100-000004000000}" name="Zillow City" dataDxfId="3">
      <calculatedColumnFormula>LEFT(A2,FIND(",",A2)-1)</calculatedColumnFormula>
    </tableColumn>
    <tableColumn id="5" xr3:uid="{00000000-0010-0000-0100-000005000000}" name="Census Match Candidate" dataDxfId="2">
      <calculatedColumnFormula>IFERROR(INDEX(Census_Metro_List!$A:$A,MATCH(D2&amp;"*",Census_Metro_List!$A:$A,0)),"No Match")</calculatedColumnFormula>
    </tableColumn>
    <tableColumn id="6" xr3:uid="{00000000-0010-0000-0100-000006000000}" name="Zillow State" dataDxfId="1">
      <calculatedColumnFormula>TRIM(RIGHT(A2,LEN(A2)-FIND(",",A2)))</calculatedColumnFormula>
    </tableColumn>
    <tableColumn id="7" xr3:uid="{00000000-0010-0000-0100-000007000000}" name="Match Check" dataDxfId="0">
      <calculatedColumnFormula>IF(E2="No Match","Review",IF(ISNUMBER(SEARCH(F2,E2)),"Likely Match","Review"))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A394" totalsRowShown="0">
  <autoFilter ref="A1:A394" xr:uid="{00000000-0009-0000-0100-000003000000}"/>
  <tableColumns count="1">
    <tableColumn id="1" xr3:uid="{00000000-0010-0000-0200-000001000000}" name="Census Met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4"/>
  <sheetViews>
    <sheetView tabSelected="1" workbookViewId="0"/>
  </sheetViews>
  <sheetFormatPr defaultRowHeight="14.5" x14ac:dyDescent="0.35"/>
  <cols>
    <col min="1" max="1" width="52.90625" customWidth="1"/>
    <col min="2" max="2" width="25.81640625" customWidth="1"/>
    <col min="3" max="3" width="13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67328</v>
      </c>
      <c r="C2">
        <v>2024</v>
      </c>
    </row>
    <row r="3" spans="1:3" x14ac:dyDescent="0.35">
      <c r="A3" t="s">
        <v>4</v>
      </c>
      <c r="B3">
        <v>22398</v>
      </c>
      <c r="C3">
        <v>2024</v>
      </c>
    </row>
    <row r="4" spans="1:3" x14ac:dyDescent="0.35">
      <c r="A4" t="s">
        <v>5</v>
      </c>
      <c r="B4">
        <v>72371</v>
      </c>
      <c r="C4">
        <v>2024</v>
      </c>
    </row>
    <row r="5" spans="1:3" x14ac:dyDescent="0.35">
      <c r="A5" t="s">
        <v>6</v>
      </c>
      <c r="B5">
        <v>56906</v>
      </c>
      <c r="C5">
        <v>2024</v>
      </c>
    </row>
    <row r="6" spans="1:3" x14ac:dyDescent="0.35">
      <c r="A6" t="s">
        <v>7</v>
      </c>
      <c r="B6">
        <v>76329</v>
      </c>
      <c r="C6">
        <v>2024</v>
      </c>
    </row>
    <row r="7" spans="1:3" x14ac:dyDescent="0.35">
      <c r="A7" t="s">
        <v>8</v>
      </c>
      <c r="B7">
        <v>88074</v>
      </c>
      <c r="C7">
        <v>2024</v>
      </c>
    </row>
    <row r="8" spans="1:3" x14ac:dyDescent="0.35">
      <c r="A8" t="s">
        <v>9</v>
      </c>
      <c r="B8">
        <v>70783</v>
      </c>
      <c r="C8">
        <v>2024</v>
      </c>
    </row>
    <row r="9" spans="1:3" x14ac:dyDescent="0.35">
      <c r="A9" t="s">
        <v>10</v>
      </c>
      <c r="B9">
        <v>56353</v>
      </c>
      <c r="C9">
        <v>2024</v>
      </c>
    </row>
    <row r="10" spans="1:3" x14ac:dyDescent="0.35">
      <c r="A10" t="s">
        <v>11</v>
      </c>
      <c r="B10">
        <v>84587</v>
      </c>
      <c r="C10">
        <v>2024</v>
      </c>
    </row>
    <row r="11" spans="1:3" x14ac:dyDescent="0.35">
      <c r="A11" t="s">
        <v>12</v>
      </c>
      <c r="B11">
        <v>62382</v>
      </c>
      <c r="C11">
        <v>2024</v>
      </c>
    </row>
    <row r="12" spans="1:3" x14ac:dyDescent="0.35">
      <c r="A12" t="s">
        <v>13</v>
      </c>
      <c r="B12">
        <v>69611</v>
      </c>
      <c r="C12">
        <v>2024</v>
      </c>
    </row>
    <row r="13" spans="1:3" x14ac:dyDescent="0.35">
      <c r="A13" t="s">
        <v>14</v>
      </c>
      <c r="B13">
        <v>73127</v>
      </c>
      <c r="C13">
        <v>2024</v>
      </c>
    </row>
    <row r="14" spans="1:3" x14ac:dyDescent="0.35">
      <c r="A14" t="s">
        <v>15</v>
      </c>
      <c r="B14">
        <v>87001</v>
      </c>
      <c r="C14">
        <v>2024</v>
      </c>
    </row>
    <row r="15" spans="1:3" x14ac:dyDescent="0.35">
      <c r="A15" t="s">
        <v>16</v>
      </c>
      <c r="B15">
        <v>100505</v>
      </c>
      <c r="C15">
        <v>2024</v>
      </c>
    </row>
    <row r="16" spans="1:3" x14ac:dyDescent="0.35">
      <c r="A16" t="s">
        <v>17</v>
      </c>
      <c r="B16">
        <v>89180</v>
      </c>
      <c r="C16">
        <v>2024</v>
      </c>
    </row>
    <row r="17" spans="1:3" x14ac:dyDescent="0.35">
      <c r="A17" t="s">
        <v>18</v>
      </c>
      <c r="B17">
        <v>55029</v>
      </c>
      <c r="C17">
        <v>2024</v>
      </c>
    </row>
    <row r="18" spans="1:3" x14ac:dyDescent="0.35">
      <c r="A18" t="s">
        <v>19</v>
      </c>
      <c r="B18">
        <v>85825</v>
      </c>
      <c r="C18">
        <v>2024</v>
      </c>
    </row>
    <row r="19" spans="1:3" x14ac:dyDescent="0.35">
      <c r="A19" t="s">
        <v>20</v>
      </c>
      <c r="B19">
        <v>25084</v>
      </c>
      <c r="C19">
        <v>2024</v>
      </c>
    </row>
    <row r="20" spans="1:3" x14ac:dyDescent="0.35">
      <c r="A20" t="s">
        <v>21</v>
      </c>
      <c r="B20">
        <v>71838</v>
      </c>
      <c r="C20">
        <v>2024</v>
      </c>
    </row>
    <row r="21" spans="1:3" x14ac:dyDescent="0.35">
      <c r="A21" t="s">
        <v>22</v>
      </c>
      <c r="B21">
        <v>65608</v>
      </c>
      <c r="C21">
        <v>2024</v>
      </c>
    </row>
    <row r="22" spans="1:3" x14ac:dyDescent="0.35">
      <c r="A22" t="s">
        <v>23</v>
      </c>
      <c r="B22">
        <v>89724</v>
      </c>
      <c r="C22">
        <v>2024</v>
      </c>
    </row>
    <row r="23" spans="1:3" x14ac:dyDescent="0.35">
      <c r="A23" t="s">
        <v>24</v>
      </c>
      <c r="B23">
        <v>82105</v>
      </c>
      <c r="C23">
        <v>2024</v>
      </c>
    </row>
    <row r="24" spans="1:3" x14ac:dyDescent="0.35">
      <c r="A24" t="s">
        <v>25</v>
      </c>
      <c r="B24">
        <v>63649</v>
      </c>
      <c r="C24">
        <v>2024</v>
      </c>
    </row>
    <row r="25" spans="1:3" x14ac:dyDescent="0.35">
      <c r="A25" t="s">
        <v>26</v>
      </c>
      <c r="B25">
        <v>69344</v>
      </c>
      <c r="C25">
        <v>2024</v>
      </c>
    </row>
    <row r="26" spans="1:3" x14ac:dyDescent="0.35">
      <c r="A26" t="s">
        <v>27</v>
      </c>
      <c r="B26">
        <v>100431</v>
      </c>
      <c r="C26">
        <v>2024</v>
      </c>
    </row>
    <row r="27" spans="1:3" x14ac:dyDescent="0.35">
      <c r="A27" t="s">
        <v>28</v>
      </c>
      <c r="B27">
        <v>70210</v>
      </c>
      <c r="C27">
        <v>2024</v>
      </c>
    </row>
    <row r="28" spans="1:3" x14ac:dyDescent="0.35">
      <c r="A28" t="s">
        <v>29</v>
      </c>
      <c r="B28">
        <v>99470</v>
      </c>
      <c r="C28">
        <v>2024</v>
      </c>
    </row>
    <row r="29" spans="1:3" x14ac:dyDescent="0.35">
      <c r="A29" t="s">
        <v>30</v>
      </c>
      <c r="B29">
        <v>66356</v>
      </c>
      <c r="C29">
        <v>2024</v>
      </c>
    </row>
    <row r="30" spans="1:3" x14ac:dyDescent="0.35">
      <c r="A30" t="s">
        <v>31</v>
      </c>
      <c r="B30">
        <v>95241</v>
      </c>
      <c r="C30">
        <v>2024</v>
      </c>
    </row>
    <row r="31" spans="1:3" x14ac:dyDescent="0.35">
      <c r="A31" t="s">
        <v>32</v>
      </c>
      <c r="B31">
        <v>69599</v>
      </c>
      <c r="C31">
        <v>2024</v>
      </c>
    </row>
    <row r="32" spans="1:3" x14ac:dyDescent="0.35">
      <c r="A32" t="s">
        <v>33</v>
      </c>
      <c r="B32">
        <v>63177</v>
      </c>
      <c r="C32">
        <v>2024</v>
      </c>
    </row>
    <row r="33" spans="1:3" x14ac:dyDescent="0.35">
      <c r="A33" t="s">
        <v>34</v>
      </c>
      <c r="B33">
        <v>61763</v>
      </c>
      <c r="C33">
        <v>2024</v>
      </c>
    </row>
    <row r="34" spans="1:3" x14ac:dyDescent="0.35">
      <c r="A34" t="s">
        <v>35</v>
      </c>
      <c r="B34">
        <v>64659</v>
      </c>
      <c r="C34">
        <v>2024</v>
      </c>
    </row>
    <row r="35" spans="1:3" x14ac:dyDescent="0.35">
      <c r="A35" t="s">
        <v>36</v>
      </c>
      <c r="B35">
        <v>52620</v>
      </c>
      <c r="C35">
        <v>2024</v>
      </c>
    </row>
    <row r="36" spans="1:3" x14ac:dyDescent="0.35">
      <c r="A36" t="s">
        <v>37</v>
      </c>
      <c r="B36">
        <v>81784</v>
      </c>
      <c r="C36">
        <v>2024</v>
      </c>
    </row>
    <row r="37" spans="1:3" x14ac:dyDescent="0.35">
      <c r="A37" t="s">
        <v>38</v>
      </c>
      <c r="B37">
        <v>89788</v>
      </c>
      <c r="C37">
        <v>2024</v>
      </c>
    </row>
    <row r="38" spans="1:3" x14ac:dyDescent="0.35">
      <c r="A38" t="s">
        <v>39</v>
      </c>
      <c r="B38">
        <v>77194</v>
      </c>
      <c r="C38">
        <v>2024</v>
      </c>
    </row>
    <row r="39" spans="1:3" x14ac:dyDescent="0.35">
      <c r="A39" t="s">
        <v>40</v>
      </c>
      <c r="B39">
        <v>64590</v>
      </c>
      <c r="C39">
        <v>2024</v>
      </c>
    </row>
    <row r="40" spans="1:3" x14ac:dyDescent="0.35">
      <c r="A40" t="s">
        <v>41</v>
      </c>
      <c r="B40">
        <v>71498</v>
      </c>
      <c r="C40">
        <v>2024</v>
      </c>
    </row>
    <row r="41" spans="1:3" x14ac:dyDescent="0.35">
      <c r="A41" t="s">
        <v>42</v>
      </c>
      <c r="B41">
        <v>85156</v>
      </c>
      <c r="C41">
        <v>2024</v>
      </c>
    </row>
    <row r="42" spans="1:3" x14ac:dyDescent="0.35">
      <c r="A42" t="s">
        <v>43</v>
      </c>
      <c r="B42">
        <v>65839</v>
      </c>
      <c r="C42">
        <v>2024</v>
      </c>
    </row>
    <row r="43" spans="1:3" x14ac:dyDescent="0.35">
      <c r="A43" t="s">
        <v>44</v>
      </c>
      <c r="B43">
        <v>79905</v>
      </c>
      <c r="C43">
        <v>2024</v>
      </c>
    </row>
    <row r="44" spans="1:3" x14ac:dyDescent="0.35">
      <c r="A44" t="s">
        <v>45</v>
      </c>
      <c r="B44">
        <v>65543</v>
      </c>
      <c r="C44">
        <v>2024</v>
      </c>
    </row>
    <row r="45" spans="1:3" x14ac:dyDescent="0.35">
      <c r="A45" t="s">
        <v>46</v>
      </c>
      <c r="B45">
        <v>85987</v>
      </c>
      <c r="C45">
        <v>2024</v>
      </c>
    </row>
    <row r="46" spans="1:3" x14ac:dyDescent="0.35">
      <c r="A46" t="s">
        <v>47</v>
      </c>
      <c r="B46">
        <v>115863</v>
      </c>
      <c r="C46">
        <v>2024</v>
      </c>
    </row>
    <row r="47" spans="1:3" x14ac:dyDescent="0.35">
      <c r="A47" t="s">
        <v>48</v>
      </c>
      <c r="B47">
        <v>103994</v>
      </c>
      <c r="C47">
        <v>2024</v>
      </c>
    </row>
    <row r="48" spans="1:3" x14ac:dyDescent="0.35">
      <c r="A48" t="s">
        <v>49</v>
      </c>
      <c r="B48">
        <v>63328</v>
      </c>
      <c r="C48">
        <v>2024</v>
      </c>
    </row>
    <row r="49" spans="1:3" x14ac:dyDescent="0.35">
      <c r="A49" t="s">
        <v>50</v>
      </c>
      <c r="B49">
        <v>93528</v>
      </c>
      <c r="C49">
        <v>2024</v>
      </c>
    </row>
    <row r="50" spans="1:3" x14ac:dyDescent="0.35">
      <c r="A50" t="s">
        <v>51</v>
      </c>
      <c r="B50">
        <v>104158</v>
      </c>
      <c r="C50">
        <v>2024</v>
      </c>
    </row>
    <row r="51" spans="1:3" x14ac:dyDescent="0.35">
      <c r="A51" t="s">
        <v>52</v>
      </c>
      <c r="B51">
        <v>114565</v>
      </c>
      <c r="C51">
        <v>2024</v>
      </c>
    </row>
    <row r="52" spans="1:3" x14ac:dyDescent="0.35">
      <c r="A52" t="s">
        <v>53</v>
      </c>
      <c r="B52">
        <v>52601</v>
      </c>
      <c r="C52">
        <v>2024</v>
      </c>
    </row>
    <row r="53" spans="1:3" x14ac:dyDescent="0.35">
      <c r="A53" t="s">
        <v>54</v>
      </c>
      <c r="B53">
        <v>66623</v>
      </c>
      <c r="C53">
        <v>2024</v>
      </c>
    </row>
    <row r="54" spans="1:3" x14ac:dyDescent="0.35">
      <c r="A54" t="s">
        <v>55</v>
      </c>
      <c r="B54">
        <v>72237</v>
      </c>
      <c r="C54">
        <v>2024</v>
      </c>
    </row>
    <row r="55" spans="1:3" x14ac:dyDescent="0.35">
      <c r="A55" t="s">
        <v>56</v>
      </c>
      <c r="B55">
        <v>65651</v>
      </c>
      <c r="C55">
        <v>2024</v>
      </c>
    </row>
    <row r="56" spans="1:3" x14ac:dyDescent="0.35">
      <c r="A56" t="s">
        <v>57</v>
      </c>
      <c r="B56">
        <v>93043</v>
      </c>
      <c r="C56">
        <v>2024</v>
      </c>
    </row>
    <row r="57" spans="1:3" x14ac:dyDescent="0.35">
      <c r="A57" t="s">
        <v>58</v>
      </c>
      <c r="B57">
        <v>67801</v>
      </c>
      <c r="C57">
        <v>2024</v>
      </c>
    </row>
    <row r="58" spans="1:3" x14ac:dyDescent="0.35">
      <c r="A58" t="s">
        <v>59</v>
      </c>
      <c r="B58">
        <v>76107</v>
      </c>
      <c r="C58">
        <v>2024</v>
      </c>
    </row>
    <row r="59" spans="1:3" x14ac:dyDescent="0.35">
      <c r="A59" t="s">
        <v>60</v>
      </c>
      <c r="B59">
        <v>66759</v>
      </c>
      <c r="C59">
        <v>2024</v>
      </c>
    </row>
    <row r="60" spans="1:3" x14ac:dyDescent="0.35">
      <c r="A60" t="s">
        <v>61</v>
      </c>
      <c r="B60">
        <v>72355</v>
      </c>
      <c r="C60">
        <v>2024</v>
      </c>
    </row>
    <row r="61" spans="1:3" x14ac:dyDescent="0.35">
      <c r="A61" t="s">
        <v>62</v>
      </c>
      <c r="B61">
        <v>72156</v>
      </c>
      <c r="C61">
        <v>2024</v>
      </c>
    </row>
    <row r="62" spans="1:3" x14ac:dyDescent="0.35">
      <c r="A62" t="s">
        <v>63</v>
      </c>
      <c r="B62">
        <v>78080</v>
      </c>
      <c r="C62">
        <v>2024</v>
      </c>
    </row>
    <row r="63" spans="1:3" x14ac:dyDescent="0.35">
      <c r="A63" t="s">
        <v>64</v>
      </c>
      <c r="B63">
        <v>77003</v>
      </c>
      <c r="C63">
        <v>2024</v>
      </c>
    </row>
    <row r="64" spans="1:3" x14ac:dyDescent="0.35">
      <c r="A64" t="s">
        <v>65</v>
      </c>
      <c r="B64">
        <v>65528</v>
      </c>
      <c r="C64">
        <v>2024</v>
      </c>
    </row>
    <row r="65" spans="1:3" x14ac:dyDescent="0.35">
      <c r="A65" t="s">
        <v>66</v>
      </c>
      <c r="B65">
        <v>60117</v>
      </c>
      <c r="C65">
        <v>2024</v>
      </c>
    </row>
    <row r="66" spans="1:3" x14ac:dyDescent="0.35">
      <c r="A66" t="s">
        <v>67</v>
      </c>
      <c r="B66">
        <v>85254</v>
      </c>
      <c r="C66">
        <v>2024</v>
      </c>
    </row>
    <row r="67" spans="1:3" x14ac:dyDescent="0.35">
      <c r="A67" t="s">
        <v>68</v>
      </c>
      <c r="B67">
        <v>83304</v>
      </c>
      <c r="C67">
        <v>2024</v>
      </c>
    </row>
    <row r="68" spans="1:3" x14ac:dyDescent="0.35">
      <c r="A68" t="s">
        <v>69</v>
      </c>
      <c r="B68">
        <v>93598</v>
      </c>
      <c r="C68">
        <v>2024</v>
      </c>
    </row>
    <row r="69" spans="1:3" x14ac:dyDescent="0.35">
      <c r="A69" t="s">
        <v>70</v>
      </c>
      <c r="B69">
        <v>72161</v>
      </c>
      <c r="C69">
        <v>2024</v>
      </c>
    </row>
    <row r="70" spans="1:3" x14ac:dyDescent="0.35">
      <c r="A70" t="s">
        <v>71</v>
      </c>
      <c r="B70">
        <v>80173</v>
      </c>
      <c r="C70">
        <v>2024</v>
      </c>
    </row>
    <row r="71" spans="1:3" x14ac:dyDescent="0.35">
      <c r="A71" t="s">
        <v>72</v>
      </c>
      <c r="B71">
        <v>90887</v>
      </c>
      <c r="C71">
        <v>2024</v>
      </c>
    </row>
    <row r="72" spans="1:3" x14ac:dyDescent="0.35">
      <c r="A72" t="s">
        <v>73</v>
      </c>
      <c r="B72">
        <v>67928</v>
      </c>
      <c r="C72">
        <v>2024</v>
      </c>
    </row>
    <row r="73" spans="1:3" x14ac:dyDescent="0.35">
      <c r="A73" t="s">
        <v>74</v>
      </c>
      <c r="B73">
        <v>81120</v>
      </c>
      <c r="C73">
        <v>2024</v>
      </c>
    </row>
    <row r="74" spans="1:3" x14ac:dyDescent="0.35">
      <c r="A74" t="s">
        <v>75</v>
      </c>
      <c r="B74">
        <v>68967</v>
      </c>
      <c r="C74">
        <v>2024</v>
      </c>
    </row>
    <row r="75" spans="1:3" x14ac:dyDescent="0.35">
      <c r="A75" t="s">
        <v>76</v>
      </c>
      <c r="B75">
        <v>70678</v>
      </c>
      <c r="C75">
        <v>2024</v>
      </c>
    </row>
    <row r="76" spans="1:3" x14ac:dyDescent="0.35">
      <c r="A76" t="s">
        <v>77</v>
      </c>
      <c r="B76">
        <v>66135</v>
      </c>
      <c r="C76">
        <v>2024</v>
      </c>
    </row>
    <row r="77" spans="1:3" x14ac:dyDescent="0.35">
      <c r="A77" t="s">
        <v>78</v>
      </c>
      <c r="B77">
        <v>81861</v>
      </c>
      <c r="C77">
        <v>2024</v>
      </c>
    </row>
    <row r="78" spans="1:3" x14ac:dyDescent="0.35">
      <c r="A78" t="s">
        <v>79</v>
      </c>
      <c r="B78">
        <v>60087</v>
      </c>
      <c r="C78">
        <v>2024</v>
      </c>
    </row>
    <row r="79" spans="1:3" x14ac:dyDescent="0.35">
      <c r="A79" t="s">
        <v>80</v>
      </c>
      <c r="B79">
        <v>90144</v>
      </c>
      <c r="C79">
        <v>2024</v>
      </c>
    </row>
    <row r="80" spans="1:3" x14ac:dyDescent="0.35">
      <c r="A80" t="s">
        <v>81</v>
      </c>
      <c r="B80">
        <v>72340</v>
      </c>
      <c r="C80">
        <v>2024</v>
      </c>
    </row>
    <row r="81" spans="1:3" x14ac:dyDescent="0.35">
      <c r="A81" t="s">
        <v>82</v>
      </c>
      <c r="B81">
        <v>68359</v>
      </c>
      <c r="C81">
        <v>2024</v>
      </c>
    </row>
    <row r="82" spans="1:3" x14ac:dyDescent="0.35">
      <c r="A82" t="s">
        <v>83</v>
      </c>
      <c r="B82">
        <v>59336</v>
      </c>
      <c r="C82">
        <v>2024</v>
      </c>
    </row>
    <row r="83" spans="1:3" x14ac:dyDescent="0.35">
      <c r="A83" t="s">
        <v>84</v>
      </c>
      <c r="B83">
        <v>79901</v>
      </c>
      <c r="C83">
        <v>2024</v>
      </c>
    </row>
    <row r="84" spans="1:3" x14ac:dyDescent="0.35">
      <c r="A84" t="s">
        <v>85</v>
      </c>
      <c r="B84">
        <v>81945</v>
      </c>
      <c r="C84">
        <v>2024</v>
      </c>
    </row>
    <row r="85" spans="1:3" x14ac:dyDescent="0.35">
      <c r="A85" t="s">
        <v>86</v>
      </c>
      <c r="B85">
        <v>67453</v>
      </c>
      <c r="C85">
        <v>2024</v>
      </c>
    </row>
    <row r="86" spans="1:3" x14ac:dyDescent="0.35">
      <c r="A86" t="s">
        <v>87</v>
      </c>
      <c r="B86">
        <v>77702</v>
      </c>
      <c r="C86">
        <v>2024</v>
      </c>
    </row>
    <row r="87" spans="1:3" x14ac:dyDescent="0.35">
      <c r="A87" t="s">
        <v>88</v>
      </c>
      <c r="B87">
        <v>81993</v>
      </c>
      <c r="C87">
        <v>2024</v>
      </c>
    </row>
    <row r="88" spans="1:3" x14ac:dyDescent="0.35">
      <c r="A88" t="s">
        <v>89</v>
      </c>
      <c r="B88">
        <v>90275</v>
      </c>
      <c r="C88">
        <v>2024</v>
      </c>
    </row>
    <row r="89" spans="1:3" x14ac:dyDescent="0.35">
      <c r="A89" t="s">
        <v>90</v>
      </c>
      <c r="B89">
        <v>67846</v>
      </c>
      <c r="C89">
        <v>2024</v>
      </c>
    </row>
    <row r="90" spans="1:3" x14ac:dyDescent="0.35">
      <c r="A90" t="s">
        <v>91</v>
      </c>
      <c r="B90">
        <v>78775</v>
      </c>
      <c r="C90">
        <v>2024</v>
      </c>
    </row>
    <row r="91" spans="1:3" x14ac:dyDescent="0.35">
      <c r="A91" t="s">
        <v>92</v>
      </c>
      <c r="B91">
        <v>72738</v>
      </c>
      <c r="C91">
        <v>2024</v>
      </c>
    </row>
    <row r="92" spans="1:3" x14ac:dyDescent="0.35">
      <c r="A92" t="s">
        <v>93</v>
      </c>
      <c r="B92">
        <v>71739</v>
      </c>
      <c r="C92">
        <v>2024</v>
      </c>
    </row>
    <row r="93" spans="1:3" x14ac:dyDescent="0.35">
      <c r="A93" t="s">
        <v>94</v>
      </c>
      <c r="B93">
        <v>68116</v>
      </c>
      <c r="C93">
        <v>2024</v>
      </c>
    </row>
    <row r="94" spans="1:3" x14ac:dyDescent="0.35">
      <c r="A94" t="s">
        <v>95</v>
      </c>
      <c r="B94">
        <v>62666</v>
      </c>
      <c r="C94">
        <v>2024</v>
      </c>
    </row>
    <row r="95" spans="1:3" x14ac:dyDescent="0.35">
      <c r="A95" t="s">
        <v>96</v>
      </c>
      <c r="B95">
        <v>71277</v>
      </c>
      <c r="C95">
        <v>2024</v>
      </c>
    </row>
    <row r="96" spans="1:3" x14ac:dyDescent="0.35">
      <c r="A96" t="s">
        <v>97</v>
      </c>
      <c r="B96">
        <v>105762</v>
      </c>
      <c r="C96">
        <v>2024</v>
      </c>
    </row>
    <row r="97" spans="1:3" x14ac:dyDescent="0.35">
      <c r="A97" t="s">
        <v>98</v>
      </c>
      <c r="B97">
        <v>85890</v>
      </c>
      <c r="C97">
        <v>2024</v>
      </c>
    </row>
    <row r="98" spans="1:3" x14ac:dyDescent="0.35">
      <c r="A98" t="s">
        <v>99</v>
      </c>
      <c r="B98">
        <v>76664</v>
      </c>
      <c r="C98">
        <v>2024</v>
      </c>
    </row>
    <row r="99" spans="1:3" x14ac:dyDescent="0.35">
      <c r="A99" t="s">
        <v>100</v>
      </c>
      <c r="B99">
        <v>57791</v>
      </c>
      <c r="C99">
        <v>2024</v>
      </c>
    </row>
    <row r="100" spans="1:3" x14ac:dyDescent="0.35">
      <c r="A100" t="s">
        <v>101</v>
      </c>
      <c r="B100">
        <v>74477</v>
      </c>
      <c r="C100">
        <v>2024</v>
      </c>
    </row>
    <row r="101" spans="1:3" x14ac:dyDescent="0.35">
      <c r="A101" t="s">
        <v>102</v>
      </c>
      <c r="B101">
        <v>77630</v>
      </c>
      <c r="C101">
        <v>2024</v>
      </c>
    </row>
    <row r="102" spans="1:3" x14ac:dyDescent="0.35">
      <c r="A102" t="s">
        <v>103</v>
      </c>
      <c r="B102">
        <v>71769</v>
      </c>
      <c r="C102">
        <v>2024</v>
      </c>
    </row>
    <row r="103" spans="1:3" x14ac:dyDescent="0.35">
      <c r="A103" t="s">
        <v>104</v>
      </c>
      <c r="B103">
        <v>83500</v>
      </c>
      <c r="C103">
        <v>2024</v>
      </c>
    </row>
    <row r="104" spans="1:3" x14ac:dyDescent="0.35">
      <c r="A104" t="s">
        <v>105</v>
      </c>
      <c r="B104">
        <v>49568</v>
      </c>
      <c r="C104">
        <v>2024</v>
      </c>
    </row>
    <row r="105" spans="1:3" x14ac:dyDescent="0.35">
      <c r="A105" t="s">
        <v>106</v>
      </c>
      <c r="B105">
        <v>74595</v>
      </c>
      <c r="C105">
        <v>2024</v>
      </c>
    </row>
    <row r="106" spans="1:3" x14ac:dyDescent="0.35">
      <c r="A106" t="s">
        <v>107</v>
      </c>
      <c r="B106">
        <v>57681</v>
      </c>
      <c r="C106">
        <v>2024</v>
      </c>
    </row>
    <row r="107" spans="1:3" x14ac:dyDescent="0.35">
      <c r="A107" t="s">
        <v>108</v>
      </c>
      <c r="B107">
        <v>67534</v>
      </c>
      <c r="C107">
        <v>2024</v>
      </c>
    </row>
    <row r="108" spans="1:3" x14ac:dyDescent="0.35">
      <c r="A108" t="s">
        <v>109</v>
      </c>
      <c r="B108">
        <v>68561</v>
      </c>
      <c r="C108">
        <v>2024</v>
      </c>
    </row>
    <row r="109" spans="1:3" x14ac:dyDescent="0.35">
      <c r="A109" t="s">
        <v>110</v>
      </c>
      <c r="B109">
        <v>63716</v>
      </c>
      <c r="C109">
        <v>2024</v>
      </c>
    </row>
    <row r="110" spans="1:3" x14ac:dyDescent="0.35">
      <c r="A110" t="s">
        <v>111</v>
      </c>
      <c r="B110">
        <v>59751</v>
      </c>
      <c r="C110">
        <v>2024</v>
      </c>
    </row>
    <row r="111" spans="1:3" x14ac:dyDescent="0.35">
      <c r="A111" t="s">
        <v>112</v>
      </c>
      <c r="B111">
        <v>66182</v>
      </c>
      <c r="C111">
        <v>2024</v>
      </c>
    </row>
    <row r="112" spans="1:3" x14ac:dyDescent="0.35">
      <c r="A112" t="s">
        <v>113</v>
      </c>
      <c r="B112">
        <v>63354</v>
      </c>
      <c r="C112">
        <v>2024</v>
      </c>
    </row>
    <row r="113" spans="1:3" x14ac:dyDescent="0.35">
      <c r="A113" t="s">
        <v>114</v>
      </c>
      <c r="B113">
        <v>71544</v>
      </c>
      <c r="C113">
        <v>2024</v>
      </c>
    </row>
    <row r="114" spans="1:3" x14ac:dyDescent="0.35">
      <c r="A114" t="s">
        <v>115</v>
      </c>
      <c r="B114">
        <v>68232</v>
      </c>
      <c r="C114">
        <v>2024</v>
      </c>
    </row>
    <row r="115" spans="1:3" x14ac:dyDescent="0.35">
      <c r="A115" t="s">
        <v>116</v>
      </c>
      <c r="B115">
        <v>88267</v>
      </c>
      <c r="C115">
        <v>2024</v>
      </c>
    </row>
    <row r="116" spans="1:3" x14ac:dyDescent="0.35">
      <c r="A116" t="s">
        <v>117</v>
      </c>
      <c r="B116">
        <v>76756</v>
      </c>
      <c r="C116">
        <v>2024</v>
      </c>
    </row>
    <row r="117" spans="1:3" x14ac:dyDescent="0.35">
      <c r="A117" t="s">
        <v>118</v>
      </c>
      <c r="B117">
        <v>55872</v>
      </c>
      <c r="C117">
        <v>2024</v>
      </c>
    </row>
    <row r="118" spans="1:3" x14ac:dyDescent="0.35">
      <c r="A118" t="s">
        <v>119</v>
      </c>
      <c r="B118">
        <v>61763</v>
      </c>
      <c r="C118">
        <v>2024</v>
      </c>
    </row>
    <row r="119" spans="1:3" x14ac:dyDescent="0.35">
      <c r="A119" t="s">
        <v>120</v>
      </c>
      <c r="B119">
        <v>81650</v>
      </c>
      <c r="C119">
        <v>2024</v>
      </c>
    </row>
    <row r="120" spans="1:3" x14ac:dyDescent="0.35">
      <c r="A120" t="s">
        <v>121</v>
      </c>
      <c r="B120">
        <v>72966</v>
      </c>
      <c r="C120">
        <v>2024</v>
      </c>
    </row>
    <row r="121" spans="1:3" x14ac:dyDescent="0.35">
      <c r="A121" t="s">
        <v>122</v>
      </c>
      <c r="B121">
        <v>62281</v>
      </c>
      <c r="C121">
        <v>2024</v>
      </c>
    </row>
    <row r="122" spans="1:3" x14ac:dyDescent="0.35">
      <c r="A122" t="s">
        <v>123</v>
      </c>
      <c r="B122">
        <v>54443</v>
      </c>
      <c r="C122">
        <v>2024</v>
      </c>
    </row>
    <row r="123" spans="1:3" x14ac:dyDescent="0.35">
      <c r="A123" t="s">
        <v>124</v>
      </c>
      <c r="B123">
        <v>61891</v>
      </c>
      <c r="C123">
        <v>2024</v>
      </c>
    </row>
    <row r="124" spans="1:3" x14ac:dyDescent="0.35">
      <c r="A124" t="s">
        <v>125</v>
      </c>
      <c r="B124">
        <v>74275</v>
      </c>
      <c r="C124">
        <v>2024</v>
      </c>
    </row>
    <row r="125" spans="1:3" x14ac:dyDescent="0.35">
      <c r="A125" t="s">
        <v>126</v>
      </c>
      <c r="B125">
        <v>93765</v>
      </c>
      <c r="C125">
        <v>2024</v>
      </c>
    </row>
    <row r="126" spans="1:3" x14ac:dyDescent="0.35">
      <c r="A126" t="s">
        <v>127</v>
      </c>
      <c r="B126">
        <v>58468</v>
      </c>
      <c r="C126">
        <v>2024</v>
      </c>
    </row>
    <row r="127" spans="1:3" x14ac:dyDescent="0.35">
      <c r="A127" t="s">
        <v>128</v>
      </c>
      <c r="B127">
        <v>71213</v>
      </c>
      <c r="C127">
        <v>2024</v>
      </c>
    </row>
    <row r="128" spans="1:3" x14ac:dyDescent="0.35">
      <c r="A128" t="s">
        <v>129</v>
      </c>
      <c r="B128">
        <v>74468</v>
      </c>
      <c r="C128">
        <v>2024</v>
      </c>
    </row>
    <row r="129" spans="1:3" x14ac:dyDescent="0.35">
      <c r="A129" t="s">
        <v>130</v>
      </c>
      <c r="B129">
        <v>54563</v>
      </c>
      <c r="C129">
        <v>2024</v>
      </c>
    </row>
    <row r="130" spans="1:3" x14ac:dyDescent="0.35">
      <c r="A130" t="s">
        <v>131</v>
      </c>
      <c r="B130">
        <v>61468</v>
      </c>
      <c r="C130">
        <v>2024</v>
      </c>
    </row>
    <row r="131" spans="1:3" x14ac:dyDescent="0.35">
      <c r="A131" t="s">
        <v>132</v>
      </c>
      <c r="B131">
        <v>80901</v>
      </c>
      <c r="C131">
        <v>2024</v>
      </c>
    </row>
    <row r="132" spans="1:3" x14ac:dyDescent="0.35">
      <c r="A132" t="s">
        <v>133</v>
      </c>
      <c r="B132">
        <v>84092</v>
      </c>
      <c r="C132">
        <v>2024</v>
      </c>
    </row>
    <row r="133" spans="1:3" x14ac:dyDescent="0.35">
      <c r="A133" t="s">
        <v>134</v>
      </c>
      <c r="B133">
        <v>75836</v>
      </c>
      <c r="C133">
        <v>2024</v>
      </c>
    </row>
    <row r="134" spans="1:3" x14ac:dyDescent="0.35">
      <c r="A134" t="s">
        <v>135</v>
      </c>
      <c r="B134">
        <v>59733</v>
      </c>
      <c r="C134">
        <v>2024</v>
      </c>
    </row>
    <row r="135" spans="1:3" x14ac:dyDescent="0.35">
      <c r="A135" t="s">
        <v>136</v>
      </c>
      <c r="B135">
        <v>69836</v>
      </c>
      <c r="C135">
        <v>2024</v>
      </c>
    </row>
    <row r="136" spans="1:3" x14ac:dyDescent="0.35">
      <c r="A136" t="s">
        <v>137</v>
      </c>
      <c r="B136">
        <v>69704</v>
      </c>
      <c r="C136">
        <v>2024</v>
      </c>
    </row>
    <row r="137" spans="1:3" x14ac:dyDescent="0.35">
      <c r="A137" t="s">
        <v>138</v>
      </c>
      <c r="B137">
        <v>73658</v>
      </c>
      <c r="C137">
        <v>2024</v>
      </c>
    </row>
    <row r="138" spans="1:3" x14ac:dyDescent="0.35">
      <c r="A138" t="s">
        <v>139</v>
      </c>
      <c r="B138">
        <v>82874</v>
      </c>
      <c r="C138">
        <v>2024</v>
      </c>
    </row>
    <row r="139" spans="1:3" x14ac:dyDescent="0.35">
      <c r="A139" t="s">
        <v>140</v>
      </c>
      <c r="B139">
        <v>60098</v>
      </c>
      <c r="C139">
        <v>2024</v>
      </c>
    </row>
    <row r="140" spans="1:3" x14ac:dyDescent="0.35">
      <c r="A140" t="s">
        <v>141</v>
      </c>
      <c r="B140">
        <v>67690</v>
      </c>
      <c r="C140">
        <v>2024</v>
      </c>
    </row>
    <row r="141" spans="1:3" x14ac:dyDescent="0.35">
      <c r="A141" t="s">
        <v>142</v>
      </c>
      <c r="B141">
        <v>97097</v>
      </c>
      <c r="C141">
        <v>2024</v>
      </c>
    </row>
    <row r="142" spans="1:3" x14ac:dyDescent="0.35">
      <c r="A142" t="s">
        <v>143</v>
      </c>
      <c r="B142">
        <v>79267</v>
      </c>
      <c r="C142">
        <v>2024</v>
      </c>
    </row>
    <row r="143" spans="1:3" x14ac:dyDescent="0.35">
      <c r="A143" t="s">
        <v>144</v>
      </c>
      <c r="B143">
        <v>65565</v>
      </c>
      <c r="C143">
        <v>2024</v>
      </c>
    </row>
    <row r="144" spans="1:3" x14ac:dyDescent="0.35">
      <c r="A144" t="s">
        <v>145</v>
      </c>
      <c r="B144">
        <v>58188</v>
      </c>
      <c r="C144">
        <v>2024</v>
      </c>
    </row>
    <row r="145" spans="1:3" x14ac:dyDescent="0.35">
      <c r="A145" t="s">
        <v>146</v>
      </c>
      <c r="B145">
        <v>71240</v>
      </c>
      <c r="C145">
        <v>2024</v>
      </c>
    </row>
    <row r="146" spans="1:3" x14ac:dyDescent="0.35">
      <c r="A146" t="s">
        <v>147</v>
      </c>
      <c r="B146">
        <v>21186</v>
      </c>
      <c r="C146">
        <v>2024</v>
      </c>
    </row>
    <row r="147" spans="1:3" x14ac:dyDescent="0.35">
      <c r="A147" t="s">
        <v>148</v>
      </c>
      <c r="B147">
        <v>62418</v>
      </c>
      <c r="C147">
        <v>2024</v>
      </c>
    </row>
    <row r="148" spans="1:3" x14ac:dyDescent="0.35">
      <c r="A148" t="s">
        <v>149</v>
      </c>
      <c r="B148">
        <v>78802</v>
      </c>
      <c r="C148">
        <v>2024</v>
      </c>
    </row>
    <row r="149" spans="1:3" x14ac:dyDescent="0.35">
      <c r="A149" t="s">
        <v>150</v>
      </c>
      <c r="B149">
        <v>56760</v>
      </c>
      <c r="C149">
        <v>2024</v>
      </c>
    </row>
    <row r="150" spans="1:3" x14ac:dyDescent="0.35">
      <c r="A150" t="s">
        <v>151</v>
      </c>
      <c r="B150">
        <v>70995</v>
      </c>
      <c r="C150">
        <v>2024</v>
      </c>
    </row>
    <row r="151" spans="1:3" x14ac:dyDescent="0.35">
      <c r="A151" t="s">
        <v>152</v>
      </c>
      <c r="B151">
        <v>80919</v>
      </c>
      <c r="C151">
        <v>2024</v>
      </c>
    </row>
    <row r="152" spans="1:3" x14ac:dyDescent="0.35">
      <c r="A152" t="s">
        <v>153</v>
      </c>
      <c r="B152">
        <v>75065</v>
      </c>
      <c r="C152">
        <v>2024</v>
      </c>
    </row>
    <row r="153" spans="1:3" x14ac:dyDescent="0.35">
      <c r="A153" t="s">
        <v>154</v>
      </c>
      <c r="B153">
        <v>95118</v>
      </c>
      <c r="C153">
        <v>2024</v>
      </c>
    </row>
    <row r="154" spans="1:3" x14ac:dyDescent="0.35">
      <c r="A154" t="s">
        <v>155</v>
      </c>
      <c r="B154">
        <v>60285</v>
      </c>
      <c r="C154">
        <v>2024</v>
      </c>
    </row>
    <row r="155" spans="1:3" x14ac:dyDescent="0.35">
      <c r="A155" t="s">
        <v>156</v>
      </c>
      <c r="B155">
        <v>78528</v>
      </c>
      <c r="C155">
        <v>2024</v>
      </c>
    </row>
    <row r="156" spans="1:3" x14ac:dyDescent="0.35">
      <c r="A156" t="s">
        <v>157</v>
      </c>
      <c r="B156">
        <v>62787</v>
      </c>
      <c r="C156">
        <v>2024</v>
      </c>
    </row>
    <row r="157" spans="1:3" x14ac:dyDescent="0.35">
      <c r="A157" t="s">
        <v>158</v>
      </c>
      <c r="B157">
        <v>83304</v>
      </c>
      <c r="C157">
        <v>2024</v>
      </c>
    </row>
    <row r="158" spans="1:3" x14ac:dyDescent="0.35">
      <c r="A158" t="s">
        <v>159</v>
      </c>
      <c r="B158">
        <v>61709</v>
      </c>
      <c r="C158">
        <v>2024</v>
      </c>
    </row>
    <row r="159" spans="1:3" x14ac:dyDescent="0.35">
      <c r="A159" t="s">
        <v>160</v>
      </c>
      <c r="B159">
        <v>56546</v>
      </c>
      <c r="C159">
        <v>2024</v>
      </c>
    </row>
    <row r="160" spans="1:3" x14ac:dyDescent="0.35">
      <c r="A160" t="s">
        <v>161</v>
      </c>
      <c r="B160">
        <v>57181</v>
      </c>
      <c r="C160">
        <v>2024</v>
      </c>
    </row>
    <row r="161" spans="1:3" x14ac:dyDescent="0.35">
      <c r="A161" t="s">
        <v>162</v>
      </c>
      <c r="B161">
        <v>64038</v>
      </c>
      <c r="C161">
        <v>2024</v>
      </c>
    </row>
    <row r="162" spans="1:3" x14ac:dyDescent="0.35">
      <c r="A162" t="s">
        <v>163</v>
      </c>
      <c r="B162">
        <v>82168</v>
      </c>
      <c r="C162">
        <v>2024</v>
      </c>
    </row>
    <row r="163" spans="1:3" x14ac:dyDescent="0.35">
      <c r="A163" t="s">
        <v>164</v>
      </c>
      <c r="B163">
        <v>60078</v>
      </c>
      <c r="C163">
        <v>2024</v>
      </c>
    </row>
    <row r="164" spans="1:3" x14ac:dyDescent="0.35">
      <c r="A164" t="s">
        <v>165</v>
      </c>
      <c r="B164">
        <v>85989</v>
      </c>
      <c r="C164">
        <v>2024</v>
      </c>
    </row>
    <row r="165" spans="1:3" x14ac:dyDescent="0.35">
      <c r="A165" t="s">
        <v>166</v>
      </c>
      <c r="B165">
        <v>80291</v>
      </c>
      <c r="C165">
        <v>2024</v>
      </c>
    </row>
    <row r="166" spans="1:3" x14ac:dyDescent="0.35">
      <c r="A166" t="s">
        <v>167</v>
      </c>
      <c r="B166">
        <v>79852</v>
      </c>
      <c r="C166">
        <v>2024</v>
      </c>
    </row>
    <row r="167" spans="1:3" x14ac:dyDescent="0.35">
      <c r="A167" t="s">
        <v>168</v>
      </c>
      <c r="B167">
        <v>75088</v>
      </c>
      <c r="C167">
        <v>2024</v>
      </c>
    </row>
    <row r="168" spans="1:3" x14ac:dyDescent="0.35">
      <c r="A168" t="s">
        <v>169</v>
      </c>
      <c r="B168">
        <v>74024</v>
      </c>
      <c r="C168">
        <v>2024</v>
      </c>
    </row>
    <row r="169" spans="1:3" x14ac:dyDescent="0.35">
      <c r="A169" t="s">
        <v>170</v>
      </c>
      <c r="B169">
        <v>66073</v>
      </c>
      <c r="C169">
        <v>2024</v>
      </c>
    </row>
    <row r="170" spans="1:3" x14ac:dyDescent="0.35">
      <c r="A170" t="s">
        <v>171</v>
      </c>
      <c r="B170">
        <v>61644</v>
      </c>
      <c r="C170">
        <v>2024</v>
      </c>
    </row>
    <row r="171" spans="1:3" x14ac:dyDescent="0.35">
      <c r="A171" t="s">
        <v>172</v>
      </c>
      <c r="B171">
        <v>61177</v>
      </c>
      <c r="C171">
        <v>2024</v>
      </c>
    </row>
    <row r="172" spans="1:3" x14ac:dyDescent="0.35">
      <c r="A172" t="s">
        <v>173</v>
      </c>
      <c r="B172">
        <v>79643</v>
      </c>
      <c r="C172">
        <v>2024</v>
      </c>
    </row>
    <row r="173" spans="1:3" x14ac:dyDescent="0.35">
      <c r="A173" t="s">
        <v>174</v>
      </c>
      <c r="B173">
        <v>68148</v>
      </c>
      <c r="C173">
        <v>2024</v>
      </c>
    </row>
    <row r="174" spans="1:3" x14ac:dyDescent="0.35">
      <c r="A174" t="s">
        <v>175</v>
      </c>
      <c r="B174">
        <v>75673</v>
      </c>
      <c r="C174">
        <v>2024</v>
      </c>
    </row>
    <row r="175" spans="1:3" x14ac:dyDescent="0.35">
      <c r="A175" t="s">
        <v>176</v>
      </c>
      <c r="B175">
        <v>74030</v>
      </c>
      <c r="C175">
        <v>2024</v>
      </c>
    </row>
    <row r="176" spans="1:3" x14ac:dyDescent="0.35">
      <c r="A176" t="s">
        <v>177</v>
      </c>
      <c r="B176">
        <v>57762</v>
      </c>
      <c r="C176">
        <v>2024</v>
      </c>
    </row>
    <row r="177" spans="1:3" x14ac:dyDescent="0.35">
      <c r="A177" t="s">
        <v>178</v>
      </c>
      <c r="B177">
        <v>58418</v>
      </c>
      <c r="C177">
        <v>2024</v>
      </c>
    </row>
    <row r="178" spans="1:3" x14ac:dyDescent="0.35">
      <c r="A178" t="s">
        <v>179</v>
      </c>
      <c r="B178">
        <v>56738</v>
      </c>
      <c r="C178">
        <v>2024</v>
      </c>
    </row>
    <row r="179" spans="1:3" x14ac:dyDescent="0.35">
      <c r="A179" t="s">
        <v>180</v>
      </c>
      <c r="B179">
        <v>61901</v>
      </c>
      <c r="C179">
        <v>2024</v>
      </c>
    </row>
    <row r="180" spans="1:3" x14ac:dyDescent="0.35">
      <c r="A180" t="s">
        <v>181</v>
      </c>
      <c r="B180">
        <v>97109</v>
      </c>
      <c r="C180">
        <v>2024</v>
      </c>
    </row>
    <row r="181" spans="1:3" x14ac:dyDescent="0.35">
      <c r="A181" t="s">
        <v>182</v>
      </c>
      <c r="B181">
        <v>72532</v>
      </c>
      <c r="C181">
        <v>2024</v>
      </c>
    </row>
    <row r="182" spans="1:3" x14ac:dyDescent="0.35">
      <c r="A182" t="s">
        <v>183</v>
      </c>
      <c r="B182">
        <v>71281</v>
      </c>
      <c r="C182">
        <v>2024</v>
      </c>
    </row>
    <row r="183" spans="1:3" x14ac:dyDescent="0.35">
      <c r="A183" t="s">
        <v>184</v>
      </c>
      <c r="B183">
        <v>83460</v>
      </c>
      <c r="C183">
        <v>2024</v>
      </c>
    </row>
    <row r="184" spans="1:3" x14ac:dyDescent="0.35">
      <c r="A184" t="s">
        <v>185</v>
      </c>
      <c r="B184">
        <v>89010</v>
      </c>
      <c r="C184">
        <v>2024</v>
      </c>
    </row>
    <row r="185" spans="1:3" x14ac:dyDescent="0.35">
      <c r="A185" t="s">
        <v>186</v>
      </c>
      <c r="B185">
        <v>81239</v>
      </c>
      <c r="C185">
        <v>2024</v>
      </c>
    </row>
    <row r="186" spans="1:3" x14ac:dyDescent="0.35">
      <c r="A186" t="s">
        <v>187</v>
      </c>
      <c r="B186">
        <v>69923</v>
      </c>
      <c r="C186">
        <v>2024</v>
      </c>
    </row>
    <row r="187" spans="1:3" x14ac:dyDescent="0.35">
      <c r="A187" t="s">
        <v>188</v>
      </c>
      <c r="B187">
        <v>57792</v>
      </c>
      <c r="C187">
        <v>2024</v>
      </c>
    </row>
    <row r="188" spans="1:3" x14ac:dyDescent="0.35">
      <c r="A188" t="s">
        <v>189</v>
      </c>
      <c r="B188">
        <v>86271</v>
      </c>
      <c r="C188">
        <v>2024</v>
      </c>
    </row>
    <row r="189" spans="1:3" x14ac:dyDescent="0.35">
      <c r="A189" t="s">
        <v>190</v>
      </c>
      <c r="B189">
        <v>98233</v>
      </c>
      <c r="C189">
        <v>2024</v>
      </c>
    </row>
    <row r="190" spans="1:3" x14ac:dyDescent="0.35">
      <c r="A190" t="s">
        <v>191</v>
      </c>
      <c r="B190">
        <v>72422</v>
      </c>
      <c r="C190">
        <v>2024</v>
      </c>
    </row>
    <row r="191" spans="1:3" x14ac:dyDescent="0.35">
      <c r="A191" t="s">
        <v>192</v>
      </c>
      <c r="B191">
        <v>64027</v>
      </c>
      <c r="C191">
        <v>2024</v>
      </c>
    </row>
    <row r="192" spans="1:3" x14ac:dyDescent="0.35">
      <c r="A192" t="s">
        <v>193</v>
      </c>
      <c r="B192">
        <v>73340</v>
      </c>
      <c r="C192">
        <v>2024</v>
      </c>
    </row>
    <row r="193" spans="1:3" x14ac:dyDescent="0.35">
      <c r="A193" t="s">
        <v>194</v>
      </c>
      <c r="B193">
        <v>60892</v>
      </c>
      <c r="C193">
        <v>2024</v>
      </c>
    </row>
    <row r="194" spans="1:3" x14ac:dyDescent="0.35">
      <c r="A194" t="s">
        <v>195</v>
      </c>
      <c r="B194">
        <v>62011</v>
      </c>
      <c r="C194">
        <v>2024</v>
      </c>
    </row>
    <row r="195" spans="1:3" x14ac:dyDescent="0.35">
      <c r="A195" t="s">
        <v>196</v>
      </c>
      <c r="B195">
        <v>66700</v>
      </c>
      <c r="C195">
        <v>2024</v>
      </c>
    </row>
    <row r="196" spans="1:3" x14ac:dyDescent="0.35">
      <c r="A196" t="s">
        <v>197</v>
      </c>
      <c r="B196">
        <v>57684</v>
      </c>
      <c r="C196">
        <v>2024</v>
      </c>
    </row>
    <row r="197" spans="1:3" x14ac:dyDescent="0.35">
      <c r="A197" t="s">
        <v>198</v>
      </c>
      <c r="B197">
        <v>65978</v>
      </c>
      <c r="C197">
        <v>2024</v>
      </c>
    </row>
    <row r="198" spans="1:3" x14ac:dyDescent="0.35">
      <c r="A198" t="s">
        <v>199</v>
      </c>
      <c r="B198">
        <v>86959</v>
      </c>
      <c r="C198">
        <v>2024</v>
      </c>
    </row>
    <row r="199" spans="1:3" x14ac:dyDescent="0.35">
      <c r="A199" t="s">
        <v>200</v>
      </c>
      <c r="B199">
        <v>72550</v>
      </c>
      <c r="C199">
        <v>2024</v>
      </c>
    </row>
    <row r="200" spans="1:3" x14ac:dyDescent="0.35">
      <c r="A200" t="s">
        <v>201</v>
      </c>
      <c r="B200">
        <v>63058</v>
      </c>
      <c r="C200">
        <v>2024</v>
      </c>
    </row>
    <row r="201" spans="1:3" x14ac:dyDescent="0.35">
      <c r="A201" t="s">
        <v>202</v>
      </c>
      <c r="B201">
        <v>56848</v>
      </c>
      <c r="C201">
        <v>2024</v>
      </c>
    </row>
    <row r="202" spans="1:3" x14ac:dyDescent="0.35">
      <c r="A202" t="s">
        <v>203</v>
      </c>
      <c r="B202">
        <v>76472</v>
      </c>
      <c r="C202">
        <v>2024</v>
      </c>
    </row>
    <row r="203" spans="1:3" x14ac:dyDescent="0.35">
      <c r="A203" t="s">
        <v>204</v>
      </c>
      <c r="B203">
        <v>69746</v>
      </c>
      <c r="C203">
        <v>2024</v>
      </c>
    </row>
    <row r="204" spans="1:3" x14ac:dyDescent="0.35">
      <c r="A204" t="s">
        <v>205</v>
      </c>
      <c r="B204">
        <v>60665</v>
      </c>
      <c r="C204">
        <v>2024</v>
      </c>
    </row>
    <row r="205" spans="1:3" x14ac:dyDescent="0.35">
      <c r="A205" t="s">
        <v>206</v>
      </c>
      <c r="B205">
        <v>78425</v>
      </c>
      <c r="C205">
        <v>2024</v>
      </c>
    </row>
    <row r="206" spans="1:3" x14ac:dyDescent="0.35">
      <c r="A206" t="s">
        <v>207</v>
      </c>
      <c r="B206">
        <v>72475</v>
      </c>
      <c r="C206">
        <v>2024</v>
      </c>
    </row>
    <row r="207" spans="1:3" x14ac:dyDescent="0.35">
      <c r="A207" t="s">
        <v>208</v>
      </c>
      <c r="B207">
        <v>67873</v>
      </c>
      <c r="C207">
        <v>2024</v>
      </c>
    </row>
    <row r="208" spans="1:3" x14ac:dyDescent="0.35">
      <c r="A208" t="s">
        <v>209</v>
      </c>
      <c r="B208">
        <v>71966</v>
      </c>
      <c r="C208">
        <v>2024</v>
      </c>
    </row>
    <row r="209" spans="1:3" x14ac:dyDescent="0.35">
      <c r="A209" t="s">
        <v>210</v>
      </c>
      <c r="B209">
        <v>126256</v>
      </c>
      <c r="C209">
        <v>2024</v>
      </c>
    </row>
    <row r="210" spans="1:3" x14ac:dyDescent="0.35">
      <c r="A210" t="s">
        <v>211</v>
      </c>
      <c r="B210">
        <v>64038</v>
      </c>
      <c r="C210">
        <v>2024</v>
      </c>
    </row>
    <row r="211" spans="1:3" x14ac:dyDescent="0.35">
      <c r="A211" t="s">
        <v>212</v>
      </c>
      <c r="B211">
        <v>75049</v>
      </c>
      <c r="C211">
        <v>2024</v>
      </c>
    </row>
    <row r="212" spans="1:3" x14ac:dyDescent="0.35">
      <c r="A212" t="s">
        <v>213</v>
      </c>
      <c r="B212">
        <v>67154</v>
      </c>
      <c r="C212">
        <v>2024</v>
      </c>
    </row>
    <row r="213" spans="1:3" x14ac:dyDescent="0.35">
      <c r="A213" t="s">
        <v>214</v>
      </c>
      <c r="B213">
        <v>81126</v>
      </c>
      <c r="C213">
        <v>2024</v>
      </c>
    </row>
    <row r="214" spans="1:3" x14ac:dyDescent="0.35">
      <c r="A214" t="s">
        <v>215</v>
      </c>
      <c r="B214">
        <v>66647</v>
      </c>
      <c r="C214">
        <v>2024</v>
      </c>
    </row>
    <row r="215" spans="1:3" x14ac:dyDescent="0.35">
      <c r="A215" t="s">
        <v>216</v>
      </c>
      <c r="B215">
        <v>76531</v>
      </c>
      <c r="C215">
        <v>2024</v>
      </c>
    </row>
    <row r="216" spans="1:3" x14ac:dyDescent="0.35">
      <c r="A216" t="s">
        <v>217</v>
      </c>
      <c r="B216">
        <v>95958</v>
      </c>
      <c r="C216">
        <v>2024</v>
      </c>
    </row>
    <row r="217" spans="1:3" x14ac:dyDescent="0.35">
      <c r="A217" t="s">
        <v>218</v>
      </c>
      <c r="B217">
        <v>73863</v>
      </c>
      <c r="C217">
        <v>2024</v>
      </c>
    </row>
    <row r="218" spans="1:3" x14ac:dyDescent="0.35">
      <c r="A218" t="s">
        <v>219</v>
      </c>
      <c r="B218">
        <v>63629</v>
      </c>
      <c r="C218">
        <v>2024</v>
      </c>
    </row>
    <row r="219" spans="1:3" x14ac:dyDescent="0.35">
      <c r="A219" t="s">
        <v>220</v>
      </c>
      <c r="B219">
        <v>68996</v>
      </c>
      <c r="C219">
        <v>2024</v>
      </c>
    </row>
    <row r="220" spans="1:3" x14ac:dyDescent="0.35">
      <c r="A220" t="s">
        <v>221</v>
      </c>
      <c r="B220">
        <v>59526</v>
      </c>
      <c r="C220">
        <v>2024</v>
      </c>
    </row>
    <row r="221" spans="1:3" x14ac:dyDescent="0.35">
      <c r="A221" t="s">
        <v>222</v>
      </c>
      <c r="B221">
        <v>88804</v>
      </c>
      <c r="C221">
        <v>2024</v>
      </c>
    </row>
    <row r="222" spans="1:3" x14ac:dyDescent="0.35">
      <c r="A222" t="s">
        <v>223</v>
      </c>
      <c r="B222">
        <v>103545</v>
      </c>
      <c r="C222">
        <v>2024</v>
      </c>
    </row>
    <row r="223" spans="1:3" x14ac:dyDescent="0.35">
      <c r="A223" t="s">
        <v>224</v>
      </c>
      <c r="B223">
        <v>65469</v>
      </c>
      <c r="C223">
        <v>2024</v>
      </c>
    </row>
    <row r="224" spans="1:3" x14ac:dyDescent="0.35">
      <c r="A224" t="s">
        <v>225</v>
      </c>
      <c r="B224">
        <v>75808</v>
      </c>
      <c r="C224">
        <v>2024</v>
      </c>
    </row>
    <row r="225" spans="1:3" x14ac:dyDescent="0.35">
      <c r="A225" t="s">
        <v>226</v>
      </c>
      <c r="B225">
        <v>59509</v>
      </c>
      <c r="C225">
        <v>2024</v>
      </c>
    </row>
    <row r="226" spans="1:3" x14ac:dyDescent="0.35">
      <c r="A226" t="s">
        <v>227</v>
      </c>
      <c r="B226">
        <v>21163</v>
      </c>
      <c r="C226">
        <v>2024</v>
      </c>
    </row>
    <row r="227" spans="1:3" x14ac:dyDescent="0.35">
      <c r="A227" t="s">
        <v>228</v>
      </c>
      <c r="B227">
        <v>54338</v>
      </c>
      <c r="C227">
        <v>2024</v>
      </c>
    </row>
    <row r="228" spans="1:3" x14ac:dyDescent="0.35">
      <c r="A228" t="s">
        <v>229</v>
      </c>
      <c r="B228">
        <v>73999</v>
      </c>
      <c r="C228">
        <v>2024</v>
      </c>
    </row>
    <row r="229" spans="1:3" x14ac:dyDescent="0.35">
      <c r="A229" t="s">
        <v>230</v>
      </c>
      <c r="B229">
        <v>66401</v>
      </c>
      <c r="C229">
        <v>2024</v>
      </c>
    </row>
    <row r="230" spans="1:3" x14ac:dyDescent="0.35">
      <c r="A230" t="s">
        <v>231</v>
      </c>
      <c r="B230">
        <v>65510</v>
      </c>
      <c r="C230">
        <v>2024</v>
      </c>
    </row>
    <row r="231" spans="1:3" x14ac:dyDescent="0.35">
      <c r="A231" t="s">
        <v>232</v>
      </c>
      <c r="B231">
        <v>76527</v>
      </c>
      <c r="C231">
        <v>2024</v>
      </c>
    </row>
    <row r="232" spans="1:3" x14ac:dyDescent="0.35">
      <c r="A232" t="s">
        <v>233</v>
      </c>
      <c r="B232">
        <v>71055</v>
      </c>
      <c r="C232">
        <v>2024</v>
      </c>
    </row>
    <row r="233" spans="1:3" x14ac:dyDescent="0.35">
      <c r="A233" t="s">
        <v>234</v>
      </c>
      <c r="B233">
        <v>77705</v>
      </c>
      <c r="C233">
        <v>2024</v>
      </c>
    </row>
    <row r="234" spans="1:3" x14ac:dyDescent="0.35">
      <c r="A234" t="s">
        <v>235</v>
      </c>
      <c r="B234">
        <v>92952</v>
      </c>
      <c r="C234">
        <v>2024</v>
      </c>
    </row>
    <row r="235" spans="1:3" x14ac:dyDescent="0.35">
      <c r="A235" t="s">
        <v>236</v>
      </c>
      <c r="B235">
        <v>78218</v>
      </c>
      <c r="C235">
        <v>2024</v>
      </c>
    </row>
    <row r="236" spans="1:3" x14ac:dyDescent="0.35">
      <c r="A236" t="s">
        <v>237</v>
      </c>
      <c r="B236">
        <v>99833</v>
      </c>
      <c r="C236">
        <v>2024</v>
      </c>
    </row>
    <row r="237" spans="1:3" x14ac:dyDescent="0.35">
      <c r="A237" t="s">
        <v>238</v>
      </c>
      <c r="B237">
        <v>78200</v>
      </c>
      <c r="C237">
        <v>2024</v>
      </c>
    </row>
    <row r="238" spans="1:3" x14ac:dyDescent="0.35">
      <c r="A238" t="s">
        <v>239</v>
      </c>
      <c r="B238">
        <v>74989</v>
      </c>
      <c r="C238">
        <v>2024</v>
      </c>
    </row>
    <row r="239" spans="1:3" x14ac:dyDescent="0.35">
      <c r="A239" t="s">
        <v>240</v>
      </c>
      <c r="B239">
        <v>58880</v>
      </c>
      <c r="C239">
        <v>2024</v>
      </c>
    </row>
    <row r="240" spans="1:3" x14ac:dyDescent="0.35">
      <c r="A240" t="s">
        <v>241</v>
      </c>
      <c r="B240">
        <v>81468</v>
      </c>
      <c r="C240">
        <v>2024</v>
      </c>
    </row>
    <row r="241" spans="1:3" x14ac:dyDescent="0.35">
      <c r="A241" t="s">
        <v>242</v>
      </c>
      <c r="B241">
        <v>51660</v>
      </c>
      <c r="C241">
        <v>2024</v>
      </c>
    </row>
    <row r="242" spans="1:3" x14ac:dyDescent="0.35">
      <c r="A242" t="s">
        <v>243</v>
      </c>
      <c r="B242">
        <v>77335</v>
      </c>
      <c r="C242">
        <v>2024</v>
      </c>
    </row>
    <row r="243" spans="1:3" x14ac:dyDescent="0.35">
      <c r="A243" t="s">
        <v>244</v>
      </c>
      <c r="B243">
        <v>64010</v>
      </c>
      <c r="C243">
        <v>2024</v>
      </c>
    </row>
    <row r="244" spans="1:3" x14ac:dyDescent="0.35">
      <c r="A244" t="s">
        <v>245</v>
      </c>
      <c r="B244">
        <v>64640</v>
      </c>
      <c r="C244">
        <v>2024</v>
      </c>
    </row>
    <row r="245" spans="1:3" x14ac:dyDescent="0.35">
      <c r="A245" t="s">
        <v>246</v>
      </c>
      <c r="B245">
        <v>60553</v>
      </c>
      <c r="C245">
        <v>2024</v>
      </c>
    </row>
    <row r="246" spans="1:3" x14ac:dyDescent="0.35">
      <c r="A246" t="s">
        <v>247</v>
      </c>
      <c r="B246">
        <v>89263</v>
      </c>
      <c r="C246">
        <v>2024</v>
      </c>
    </row>
    <row r="247" spans="1:3" x14ac:dyDescent="0.35">
      <c r="A247" t="s">
        <v>248</v>
      </c>
      <c r="B247">
        <v>58127</v>
      </c>
      <c r="C247">
        <v>2024</v>
      </c>
    </row>
    <row r="248" spans="1:3" x14ac:dyDescent="0.35">
      <c r="A248" t="s">
        <v>249</v>
      </c>
      <c r="B248">
        <v>65024</v>
      </c>
      <c r="C248">
        <v>2024</v>
      </c>
    </row>
    <row r="249" spans="1:3" x14ac:dyDescent="0.35">
      <c r="A249" t="s">
        <v>250</v>
      </c>
      <c r="B249">
        <v>66880</v>
      </c>
      <c r="C249">
        <v>2024</v>
      </c>
    </row>
    <row r="250" spans="1:3" x14ac:dyDescent="0.35">
      <c r="A250" t="s">
        <v>251</v>
      </c>
      <c r="B250">
        <v>111471</v>
      </c>
      <c r="C250">
        <v>2024</v>
      </c>
    </row>
    <row r="251" spans="1:3" x14ac:dyDescent="0.35">
      <c r="A251" t="s">
        <v>252</v>
      </c>
      <c r="B251">
        <v>90045</v>
      </c>
      <c r="C251">
        <v>2024</v>
      </c>
    </row>
    <row r="252" spans="1:3" x14ac:dyDescent="0.35">
      <c r="A252" t="s">
        <v>253</v>
      </c>
      <c r="B252">
        <v>85447</v>
      </c>
      <c r="C252">
        <v>2024</v>
      </c>
    </row>
    <row r="253" spans="1:3" x14ac:dyDescent="0.35">
      <c r="A253" t="s">
        <v>254</v>
      </c>
      <c r="B253">
        <v>88197</v>
      </c>
      <c r="C253">
        <v>2024</v>
      </c>
    </row>
    <row r="254" spans="1:3" x14ac:dyDescent="0.35">
      <c r="A254" t="s">
        <v>255</v>
      </c>
      <c r="B254">
        <v>62655</v>
      </c>
      <c r="C254">
        <v>2024</v>
      </c>
    </row>
    <row r="255" spans="1:3" x14ac:dyDescent="0.35">
      <c r="A255" t="s">
        <v>256</v>
      </c>
      <c r="B255">
        <v>99155</v>
      </c>
      <c r="C255">
        <v>2024</v>
      </c>
    </row>
    <row r="256" spans="1:3" x14ac:dyDescent="0.35">
      <c r="A256" t="s">
        <v>257</v>
      </c>
      <c r="B256">
        <v>65425</v>
      </c>
      <c r="C256">
        <v>2024</v>
      </c>
    </row>
    <row r="257" spans="1:3" x14ac:dyDescent="0.35">
      <c r="A257" t="s">
        <v>258</v>
      </c>
      <c r="B257">
        <v>80859</v>
      </c>
      <c r="C257">
        <v>2024</v>
      </c>
    </row>
    <row r="258" spans="1:3" x14ac:dyDescent="0.35">
      <c r="A258" t="s">
        <v>259</v>
      </c>
      <c r="B258">
        <v>86586</v>
      </c>
      <c r="C258">
        <v>2024</v>
      </c>
    </row>
    <row r="259" spans="1:3" x14ac:dyDescent="0.35">
      <c r="A259" t="s">
        <v>260</v>
      </c>
      <c r="B259">
        <v>61010</v>
      </c>
      <c r="C259">
        <v>2024</v>
      </c>
    </row>
    <row r="260" spans="1:3" x14ac:dyDescent="0.35">
      <c r="A260" t="s">
        <v>261</v>
      </c>
      <c r="B260">
        <v>71536</v>
      </c>
      <c r="C260">
        <v>2024</v>
      </c>
    </row>
    <row r="261" spans="1:3" x14ac:dyDescent="0.35">
      <c r="A261" t="s">
        <v>262</v>
      </c>
      <c r="B261">
        <v>101203</v>
      </c>
      <c r="C261">
        <v>2024</v>
      </c>
    </row>
    <row r="262" spans="1:3" x14ac:dyDescent="0.35">
      <c r="A262" t="s">
        <v>263</v>
      </c>
      <c r="B262">
        <v>72094</v>
      </c>
      <c r="C262">
        <v>2024</v>
      </c>
    </row>
    <row r="263" spans="1:3" x14ac:dyDescent="0.35">
      <c r="A263" t="s">
        <v>264</v>
      </c>
      <c r="B263">
        <v>96563</v>
      </c>
      <c r="C263">
        <v>2024</v>
      </c>
    </row>
    <row r="264" spans="1:3" x14ac:dyDescent="0.35">
      <c r="A264" t="s">
        <v>265</v>
      </c>
      <c r="B264">
        <v>84829</v>
      </c>
      <c r="C264">
        <v>2024</v>
      </c>
    </row>
    <row r="265" spans="1:3" x14ac:dyDescent="0.35">
      <c r="A265" t="s">
        <v>266</v>
      </c>
      <c r="B265">
        <v>78533</v>
      </c>
      <c r="C265">
        <v>2024</v>
      </c>
    </row>
    <row r="266" spans="1:3" x14ac:dyDescent="0.35">
      <c r="A266" t="s">
        <v>267</v>
      </c>
      <c r="B266">
        <v>74925</v>
      </c>
      <c r="C266">
        <v>2024</v>
      </c>
    </row>
    <row r="267" spans="1:3" x14ac:dyDescent="0.35">
      <c r="A267" t="s">
        <v>268</v>
      </c>
      <c r="B267">
        <v>68002</v>
      </c>
      <c r="C267">
        <v>2024</v>
      </c>
    </row>
    <row r="268" spans="1:3" x14ac:dyDescent="0.35">
      <c r="A268" t="s">
        <v>269</v>
      </c>
      <c r="B268">
        <v>109797</v>
      </c>
      <c r="C268">
        <v>2024</v>
      </c>
    </row>
    <row r="269" spans="1:3" x14ac:dyDescent="0.35">
      <c r="A269" t="s">
        <v>270</v>
      </c>
      <c r="B269">
        <v>64160</v>
      </c>
      <c r="C269">
        <v>2024</v>
      </c>
    </row>
    <row r="270" spans="1:3" x14ac:dyDescent="0.35">
      <c r="A270" t="s">
        <v>271</v>
      </c>
      <c r="B270">
        <v>78476</v>
      </c>
      <c r="C270">
        <v>2024</v>
      </c>
    </row>
    <row r="271" spans="1:3" x14ac:dyDescent="0.35">
      <c r="A271" t="s">
        <v>272</v>
      </c>
      <c r="B271">
        <v>71514</v>
      </c>
      <c r="C271">
        <v>2024</v>
      </c>
    </row>
    <row r="272" spans="1:3" x14ac:dyDescent="0.35">
      <c r="A272" t="s">
        <v>273</v>
      </c>
      <c r="B272">
        <v>57391</v>
      </c>
      <c r="C272">
        <v>2024</v>
      </c>
    </row>
    <row r="273" spans="1:3" x14ac:dyDescent="0.35">
      <c r="A273" t="s">
        <v>274</v>
      </c>
      <c r="B273">
        <v>75967</v>
      </c>
      <c r="C273">
        <v>2024</v>
      </c>
    </row>
    <row r="274" spans="1:3" x14ac:dyDescent="0.35">
      <c r="A274" t="s">
        <v>275</v>
      </c>
      <c r="B274">
        <v>71857</v>
      </c>
      <c r="C274">
        <v>2024</v>
      </c>
    </row>
    <row r="275" spans="1:3" x14ac:dyDescent="0.35">
      <c r="A275" t="s">
        <v>276</v>
      </c>
      <c r="B275">
        <v>91289</v>
      </c>
      <c r="C275">
        <v>2024</v>
      </c>
    </row>
    <row r="276" spans="1:3" x14ac:dyDescent="0.35">
      <c r="A276" t="s">
        <v>277</v>
      </c>
      <c r="B276">
        <v>88301</v>
      </c>
      <c r="C276">
        <v>2024</v>
      </c>
    </row>
    <row r="277" spans="1:3" x14ac:dyDescent="0.35">
      <c r="A277" t="s">
        <v>278</v>
      </c>
      <c r="B277">
        <v>86080</v>
      </c>
      <c r="C277">
        <v>2024</v>
      </c>
    </row>
    <row r="278" spans="1:3" x14ac:dyDescent="0.35">
      <c r="A278" t="s">
        <v>279</v>
      </c>
      <c r="B278">
        <v>75762</v>
      </c>
      <c r="C278">
        <v>2024</v>
      </c>
    </row>
    <row r="279" spans="1:3" x14ac:dyDescent="0.35">
      <c r="A279" t="s">
        <v>280</v>
      </c>
      <c r="B279">
        <v>76013</v>
      </c>
      <c r="C279">
        <v>2024</v>
      </c>
    </row>
    <row r="280" spans="1:3" x14ac:dyDescent="0.35">
      <c r="A280" t="s">
        <v>281</v>
      </c>
      <c r="B280">
        <v>66499</v>
      </c>
      <c r="C280">
        <v>2024</v>
      </c>
    </row>
    <row r="281" spans="1:3" x14ac:dyDescent="0.35">
      <c r="A281" t="s">
        <v>282</v>
      </c>
      <c r="B281">
        <v>22247</v>
      </c>
      <c r="C281">
        <v>2024</v>
      </c>
    </row>
    <row r="282" spans="1:3" x14ac:dyDescent="0.35">
      <c r="A282" t="s">
        <v>283</v>
      </c>
      <c r="B282">
        <v>92175</v>
      </c>
      <c r="C282">
        <v>2024</v>
      </c>
    </row>
    <row r="283" spans="1:3" x14ac:dyDescent="0.35">
      <c r="A283" t="s">
        <v>284</v>
      </c>
      <c r="B283">
        <v>97436</v>
      </c>
      <c r="C283">
        <v>2024</v>
      </c>
    </row>
    <row r="284" spans="1:3" x14ac:dyDescent="0.35">
      <c r="A284" t="s">
        <v>285</v>
      </c>
      <c r="B284">
        <v>74514</v>
      </c>
      <c r="C284">
        <v>2024</v>
      </c>
    </row>
    <row r="285" spans="1:3" x14ac:dyDescent="0.35">
      <c r="A285" t="s">
        <v>286</v>
      </c>
      <c r="B285">
        <v>69613</v>
      </c>
      <c r="C285">
        <v>2024</v>
      </c>
    </row>
    <row r="286" spans="1:3" x14ac:dyDescent="0.35">
      <c r="A286" t="s">
        <v>287</v>
      </c>
      <c r="B286">
        <v>87040</v>
      </c>
      <c r="C286">
        <v>2024</v>
      </c>
    </row>
    <row r="287" spans="1:3" x14ac:dyDescent="0.35">
      <c r="A287" t="s">
        <v>288</v>
      </c>
      <c r="B287">
        <v>100704</v>
      </c>
      <c r="C287">
        <v>2024</v>
      </c>
    </row>
    <row r="288" spans="1:3" x14ac:dyDescent="0.35">
      <c r="A288" t="s">
        <v>289</v>
      </c>
      <c r="B288">
        <v>64010</v>
      </c>
      <c r="C288">
        <v>2024</v>
      </c>
    </row>
    <row r="289" spans="1:3" x14ac:dyDescent="0.35">
      <c r="A289" t="s">
        <v>290</v>
      </c>
      <c r="B289">
        <v>69952</v>
      </c>
      <c r="C289">
        <v>2024</v>
      </c>
    </row>
    <row r="290" spans="1:3" x14ac:dyDescent="0.35">
      <c r="A290" t="s">
        <v>291</v>
      </c>
      <c r="B290">
        <v>78096</v>
      </c>
      <c r="C290">
        <v>2024</v>
      </c>
    </row>
    <row r="291" spans="1:3" x14ac:dyDescent="0.35">
      <c r="A291" t="s">
        <v>292</v>
      </c>
      <c r="B291">
        <v>100103</v>
      </c>
      <c r="C291">
        <v>2024</v>
      </c>
    </row>
    <row r="292" spans="1:3" x14ac:dyDescent="0.35">
      <c r="A292" t="s">
        <v>293</v>
      </c>
      <c r="B292">
        <v>75255</v>
      </c>
      <c r="C292">
        <v>2024</v>
      </c>
    </row>
    <row r="293" spans="1:3" x14ac:dyDescent="0.35">
      <c r="A293" t="s">
        <v>294</v>
      </c>
      <c r="B293">
        <v>79777</v>
      </c>
      <c r="C293">
        <v>2024</v>
      </c>
    </row>
    <row r="294" spans="1:3" x14ac:dyDescent="0.35">
      <c r="A294" t="s">
        <v>295</v>
      </c>
      <c r="B294">
        <v>72636</v>
      </c>
      <c r="C294">
        <v>2024</v>
      </c>
    </row>
    <row r="295" spans="1:3" x14ac:dyDescent="0.35">
      <c r="A295" t="s">
        <v>296</v>
      </c>
      <c r="B295">
        <v>87485</v>
      </c>
      <c r="C295">
        <v>2024</v>
      </c>
    </row>
    <row r="296" spans="1:3" x14ac:dyDescent="0.35">
      <c r="A296" t="s">
        <v>297</v>
      </c>
      <c r="B296">
        <v>86679</v>
      </c>
      <c r="C296">
        <v>2024</v>
      </c>
    </row>
    <row r="297" spans="1:3" x14ac:dyDescent="0.35">
      <c r="A297" t="s">
        <v>298</v>
      </c>
      <c r="B297">
        <v>89662</v>
      </c>
      <c r="C297">
        <v>2024</v>
      </c>
    </row>
    <row r="298" spans="1:3" x14ac:dyDescent="0.35">
      <c r="A298" t="s">
        <v>299</v>
      </c>
      <c r="B298">
        <v>68761</v>
      </c>
      <c r="C298">
        <v>2024</v>
      </c>
    </row>
    <row r="299" spans="1:3" x14ac:dyDescent="0.35">
      <c r="A299" t="s">
        <v>300</v>
      </c>
      <c r="B299">
        <v>91882</v>
      </c>
      <c r="C299">
        <v>2024</v>
      </c>
    </row>
    <row r="300" spans="1:3" x14ac:dyDescent="0.35">
      <c r="A300" t="s">
        <v>301</v>
      </c>
      <c r="B300">
        <v>76284</v>
      </c>
      <c r="C300">
        <v>2024</v>
      </c>
    </row>
    <row r="301" spans="1:3" x14ac:dyDescent="0.35">
      <c r="A301" t="s">
        <v>302</v>
      </c>
      <c r="B301">
        <v>68033</v>
      </c>
      <c r="C301">
        <v>2024</v>
      </c>
    </row>
    <row r="302" spans="1:3" x14ac:dyDescent="0.35">
      <c r="A302" t="s">
        <v>303</v>
      </c>
      <c r="B302">
        <v>59636</v>
      </c>
      <c r="C302">
        <v>2024</v>
      </c>
    </row>
    <row r="303" spans="1:3" x14ac:dyDescent="0.35">
      <c r="A303" t="s">
        <v>304</v>
      </c>
      <c r="B303">
        <v>65565</v>
      </c>
      <c r="C303">
        <v>2024</v>
      </c>
    </row>
    <row r="304" spans="1:3" x14ac:dyDescent="0.35">
      <c r="A304" t="s">
        <v>305</v>
      </c>
      <c r="B304">
        <v>97188</v>
      </c>
      <c r="C304">
        <v>2024</v>
      </c>
    </row>
    <row r="305" spans="1:3" x14ac:dyDescent="0.35">
      <c r="A305" t="s">
        <v>306</v>
      </c>
      <c r="B305">
        <v>60622</v>
      </c>
      <c r="C305">
        <v>2024</v>
      </c>
    </row>
    <row r="306" spans="1:3" x14ac:dyDescent="0.35">
      <c r="A306" t="s">
        <v>307</v>
      </c>
      <c r="B306">
        <v>76497</v>
      </c>
      <c r="C306">
        <v>2024</v>
      </c>
    </row>
    <row r="307" spans="1:3" x14ac:dyDescent="0.35">
      <c r="A307" t="s">
        <v>308</v>
      </c>
      <c r="B307">
        <v>80632</v>
      </c>
      <c r="C307">
        <v>2024</v>
      </c>
    </row>
    <row r="308" spans="1:3" x14ac:dyDescent="0.35">
      <c r="A308" t="s">
        <v>309</v>
      </c>
      <c r="B308">
        <v>65005</v>
      </c>
      <c r="C308">
        <v>2024</v>
      </c>
    </row>
    <row r="309" spans="1:3" x14ac:dyDescent="0.35">
      <c r="A309" t="s">
        <v>310</v>
      </c>
      <c r="B309">
        <v>80196</v>
      </c>
      <c r="C309">
        <v>2024</v>
      </c>
    </row>
    <row r="310" spans="1:3" x14ac:dyDescent="0.35">
      <c r="A310" t="s">
        <v>311</v>
      </c>
      <c r="B310">
        <v>78900</v>
      </c>
      <c r="C310">
        <v>2024</v>
      </c>
    </row>
    <row r="311" spans="1:3" x14ac:dyDescent="0.35">
      <c r="A311" t="s">
        <v>312</v>
      </c>
      <c r="B311">
        <v>97230</v>
      </c>
      <c r="C311">
        <v>2024</v>
      </c>
    </row>
    <row r="312" spans="1:3" x14ac:dyDescent="0.35">
      <c r="A312" t="s">
        <v>313</v>
      </c>
      <c r="B312">
        <v>73802</v>
      </c>
      <c r="C312">
        <v>2024</v>
      </c>
    </row>
    <row r="313" spans="1:3" x14ac:dyDescent="0.35">
      <c r="A313" t="s">
        <v>314</v>
      </c>
      <c r="B313">
        <v>98083</v>
      </c>
      <c r="C313">
        <v>2024</v>
      </c>
    </row>
    <row r="314" spans="1:3" x14ac:dyDescent="0.35">
      <c r="A314" t="s">
        <v>315</v>
      </c>
      <c r="B314">
        <v>68419</v>
      </c>
      <c r="C314">
        <v>2024</v>
      </c>
    </row>
    <row r="315" spans="1:3" x14ac:dyDescent="0.35">
      <c r="A315" t="s">
        <v>316</v>
      </c>
      <c r="B315">
        <v>76213</v>
      </c>
      <c r="C315">
        <v>2024</v>
      </c>
    </row>
    <row r="316" spans="1:3" x14ac:dyDescent="0.35">
      <c r="A316" t="s">
        <v>317</v>
      </c>
      <c r="B316">
        <v>106268</v>
      </c>
      <c r="C316">
        <v>2024</v>
      </c>
    </row>
    <row r="317" spans="1:3" x14ac:dyDescent="0.35">
      <c r="A317" t="s">
        <v>318</v>
      </c>
      <c r="B317">
        <v>73502</v>
      </c>
      <c r="C317">
        <v>2024</v>
      </c>
    </row>
    <row r="318" spans="1:3" x14ac:dyDescent="0.35">
      <c r="A318" t="s">
        <v>319</v>
      </c>
      <c r="B318">
        <v>136027</v>
      </c>
      <c r="C318">
        <v>2024</v>
      </c>
    </row>
    <row r="319" spans="1:3" x14ac:dyDescent="0.35">
      <c r="A319" t="s">
        <v>320</v>
      </c>
      <c r="B319">
        <v>162111</v>
      </c>
      <c r="C319">
        <v>2024</v>
      </c>
    </row>
    <row r="320" spans="1:3" x14ac:dyDescent="0.35">
      <c r="A320" t="s">
        <v>321</v>
      </c>
      <c r="B320">
        <v>29276</v>
      </c>
      <c r="C320">
        <v>2024</v>
      </c>
    </row>
    <row r="321" spans="1:3" x14ac:dyDescent="0.35">
      <c r="A321" t="s">
        <v>322</v>
      </c>
      <c r="B321">
        <v>97446</v>
      </c>
      <c r="C321">
        <v>2024</v>
      </c>
    </row>
    <row r="322" spans="1:3" x14ac:dyDescent="0.35">
      <c r="A322" t="s">
        <v>323</v>
      </c>
      <c r="B322">
        <v>111093</v>
      </c>
      <c r="C322">
        <v>2024</v>
      </c>
    </row>
    <row r="323" spans="1:3" x14ac:dyDescent="0.35">
      <c r="A323" t="s">
        <v>324</v>
      </c>
      <c r="B323">
        <v>79071</v>
      </c>
      <c r="C323">
        <v>2024</v>
      </c>
    </row>
    <row r="324" spans="1:3" x14ac:dyDescent="0.35">
      <c r="A324" t="s">
        <v>325</v>
      </c>
      <c r="B324">
        <v>98161</v>
      </c>
      <c r="C324">
        <v>2024</v>
      </c>
    </row>
    <row r="325" spans="1:3" x14ac:dyDescent="0.35">
      <c r="A325" t="s">
        <v>326</v>
      </c>
      <c r="B325">
        <v>104674</v>
      </c>
      <c r="C325">
        <v>2024</v>
      </c>
    </row>
    <row r="326" spans="1:3" x14ac:dyDescent="0.35">
      <c r="A326" t="s">
        <v>327</v>
      </c>
      <c r="B326">
        <v>77180</v>
      </c>
      <c r="C326">
        <v>2024</v>
      </c>
    </row>
    <row r="327" spans="1:3" x14ac:dyDescent="0.35">
      <c r="A327" t="s">
        <v>328</v>
      </c>
      <c r="B327">
        <v>65158</v>
      </c>
      <c r="C327">
        <v>2024</v>
      </c>
    </row>
    <row r="328" spans="1:3" x14ac:dyDescent="0.35">
      <c r="A328" t="s">
        <v>329</v>
      </c>
      <c r="B328">
        <v>115177</v>
      </c>
      <c r="C328">
        <v>2024</v>
      </c>
    </row>
    <row r="329" spans="1:3" x14ac:dyDescent="0.35">
      <c r="A329" t="s">
        <v>330</v>
      </c>
      <c r="B329">
        <v>73491</v>
      </c>
      <c r="C329">
        <v>2024</v>
      </c>
    </row>
    <row r="330" spans="1:3" x14ac:dyDescent="0.35">
      <c r="A330" t="s">
        <v>331</v>
      </c>
      <c r="B330">
        <v>54897</v>
      </c>
      <c r="C330">
        <v>2024</v>
      </c>
    </row>
    <row r="331" spans="1:3" x14ac:dyDescent="0.35">
      <c r="A331" t="s">
        <v>332</v>
      </c>
      <c r="B331">
        <v>73094</v>
      </c>
      <c r="C331">
        <v>2024</v>
      </c>
    </row>
    <row r="332" spans="1:3" x14ac:dyDescent="0.35">
      <c r="A332" t="s">
        <v>333</v>
      </c>
      <c r="B332">
        <v>72182</v>
      </c>
      <c r="C332">
        <v>2024</v>
      </c>
    </row>
    <row r="333" spans="1:3" x14ac:dyDescent="0.35">
      <c r="A333" t="s">
        <v>334</v>
      </c>
      <c r="B333">
        <v>55925</v>
      </c>
      <c r="C333">
        <v>2024</v>
      </c>
    </row>
    <row r="334" spans="1:3" x14ac:dyDescent="0.35">
      <c r="A334" t="s">
        <v>335</v>
      </c>
      <c r="B334">
        <v>59742</v>
      </c>
      <c r="C334">
        <v>2024</v>
      </c>
    </row>
    <row r="335" spans="1:3" x14ac:dyDescent="0.35">
      <c r="A335" t="s">
        <v>336</v>
      </c>
      <c r="B335">
        <v>75192</v>
      </c>
      <c r="C335">
        <v>2024</v>
      </c>
    </row>
    <row r="336" spans="1:3" x14ac:dyDescent="0.35">
      <c r="A336" t="s">
        <v>337</v>
      </c>
      <c r="B336">
        <v>82754</v>
      </c>
      <c r="C336">
        <v>2024</v>
      </c>
    </row>
    <row r="337" spans="1:3" x14ac:dyDescent="0.35">
      <c r="A337" t="s">
        <v>338</v>
      </c>
      <c r="B337">
        <v>81202</v>
      </c>
      <c r="C337">
        <v>2024</v>
      </c>
    </row>
    <row r="338" spans="1:3" x14ac:dyDescent="0.35">
      <c r="A338" t="s">
        <v>339</v>
      </c>
      <c r="B338">
        <v>67217</v>
      </c>
      <c r="C338">
        <v>2024</v>
      </c>
    </row>
    <row r="339" spans="1:3" x14ac:dyDescent="0.35">
      <c r="A339" t="s">
        <v>340</v>
      </c>
      <c r="B339">
        <v>64382</v>
      </c>
      <c r="C339">
        <v>2024</v>
      </c>
    </row>
    <row r="340" spans="1:3" x14ac:dyDescent="0.35">
      <c r="A340" t="s">
        <v>341</v>
      </c>
      <c r="B340">
        <v>77488</v>
      </c>
      <c r="C340">
        <v>2024</v>
      </c>
    </row>
    <row r="341" spans="1:3" x14ac:dyDescent="0.35">
      <c r="A341" t="s">
        <v>342</v>
      </c>
      <c r="B341">
        <v>75895</v>
      </c>
      <c r="C341">
        <v>2024</v>
      </c>
    </row>
    <row r="342" spans="1:3" x14ac:dyDescent="0.35">
      <c r="A342" t="s">
        <v>343</v>
      </c>
      <c r="B342">
        <v>71306</v>
      </c>
      <c r="C342">
        <v>2024</v>
      </c>
    </row>
    <row r="343" spans="1:3" x14ac:dyDescent="0.35">
      <c r="A343" t="s">
        <v>344</v>
      </c>
      <c r="B343">
        <v>65071</v>
      </c>
      <c r="C343">
        <v>2024</v>
      </c>
    </row>
    <row r="344" spans="1:3" x14ac:dyDescent="0.35">
      <c r="A344" t="s">
        <v>345</v>
      </c>
      <c r="B344">
        <v>63132</v>
      </c>
      <c r="C344">
        <v>2024</v>
      </c>
    </row>
    <row r="345" spans="1:3" x14ac:dyDescent="0.35">
      <c r="A345" t="s">
        <v>346</v>
      </c>
      <c r="B345">
        <v>74291</v>
      </c>
      <c r="C345">
        <v>2024</v>
      </c>
    </row>
    <row r="346" spans="1:3" x14ac:dyDescent="0.35">
      <c r="A346" t="s">
        <v>347</v>
      </c>
      <c r="B346">
        <v>73544</v>
      </c>
      <c r="C346">
        <v>2024</v>
      </c>
    </row>
    <row r="347" spans="1:3" x14ac:dyDescent="0.35">
      <c r="A347" t="s">
        <v>348</v>
      </c>
      <c r="B347">
        <v>92179</v>
      </c>
      <c r="C347">
        <v>2024</v>
      </c>
    </row>
    <row r="348" spans="1:3" x14ac:dyDescent="0.35">
      <c r="A348" t="s">
        <v>349</v>
      </c>
      <c r="B348">
        <v>56693</v>
      </c>
      <c r="C348">
        <v>2024</v>
      </c>
    </row>
    <row r="349" spans="1:3" x14ac:dyDescent="0.35">
      <c r="A349" t="s">
        <v>350</v>
      </c>
      <c r="B349">
        <v>75492</v>
      </c>
      <c r="C349">
        <v>2024</v>
      </c>
    </row>
    <row r="350" spans="1:3" x14ac:dyDescent="0.35">
      <c r="A350" t="s">
        <v>351</v>
      </c>
      <c r="B350">
        <v>65261</v>
      </c>
      <c r="C350">
        <v>2024</v>
      </c>
    </row>
    <row r="351" spans="1:3" x14ac:dyDescent="0.35">
      <c r="A351" t="s">
        <v>352</v>
      </c>
      <c r="B351">
        <v>74392</v>
      </c>
      <c r="C351">
        <v>2024</v>
      </c>
    </row>
    <row r="352" spans="1:3" x14ac:dyDescent="0.35">
      <c r="A352" t="s">
        <v>353</v>
      </c>
      <c r="B352">
        <v>56594</v>
      </c>
      <c r="C352">
        <v>2024</v>
      </c>
    </row>
    <row r="353" spans="1:3" x14ac:dyDescent="0.35">
      <c r="A353" t="s">
        <v>354</v>
      </c>
      <c r="B353">
        <v>55646</v>
      </c>
      <c r="C353">
        <v>2024</v>
      </c>
    </row>
    <row r="354" spans="1:3" x14ac:dyDescent="0.35">
      <c r="A354" t="s">
        <v>355</v>
      </c>
      <c r="B354">
        <v>65486</v>
      </c>
      <c r="C354">
        <v>2024</v>
      </c>
    </row>
    <row r="355" spans="1:3" x14ac:dyDescent="0.35">
      <c r="A355" t="s">
        <v>356</v>
      </c>
      <c r="B355">
        <v>69888</v>
      </c>
      <c r="C355">
        <v>2024</v>
      </c>
    </row>
    <row r="356" spans="1:3" x14ac:dyDescent="0.35">
      <c r="A356" t="s">
        <v>357</v>
      </c>
      <c r="B356">
        <v>80889</v>
      </c>
      <c r="C356">
        <v>2024</v>
      </c>
    </row>
    <row r="357" spans="1:3" x14ac:dyDescent="0.35">
      <c r="A357" t="s">
        <v>358</v>
      </c>
      <c r="B357">
        <v>100645</v>
      </c>
      <c r="C357">
        <v>2024</v>
      </c>
    </row>
    <row r="358" spans="1:3" x14ac:dyDescent="0.35">
      <c r="A358" t="s">
        <v>359</v>
      </c>
      <c r="B358">
        <v>70315</v>
      </c>
      <c r="C358">
        <v>2024</v>
      </c>
    </row>
    <row r="359" spans="1:3" x14ac:dyDescent="0.35">
      <c r="A359" t="s">
        <v>360</v>
      </c>
      <c r="B359">
        <v>69359</v>
      </c>
      <c r="C359">
        <v>2024</v>
      </c>
    </row>
    <row r="360" spans="1:3" x14ac:dyDescent="0.35">
      <c r="A360" t="s">
        <v>361</v>
      </c>
      <c r="B360">
        <v>61517</v>
      </c>
      <c r="C360">
        <v>2024</v>
      </c>
    </row>
    <row r="361" spans="1:3" x14ac:dyDescent="0.35">
      <c r="A361" t="s">
        <v>362</v>
      </c>
      <c r="B361">
        <v>68810</v>
      </c>
      <c r="C361">
        <v>2024</v>
      </c>
    </row>
    <row r="362" spans="1:3" x14ac:dyDescent="0.35">
      <c r="A362" t="s">
        <v>363</v>
      </c>
      <c r="B362">
        <v>74192</v>
      </c>
      <c r="C362">
        <v>2024</v>
      </c>
    </row>
    <row r="363" spans="1:3" x14ac:dyDescent="0.35">
      <c r="A363" t="s">
        <v>364</v>
      </c>
      <c r="B363">
        <v>106195</v>
      </c>
      <c r="C363">
        <v>2024</v>
      </c>
    </row>
    <row r="364" spans="1:3" x14ac:dyDescent="0.35">
      <c r="A364" t="s">
        <v>365</v>
      </c>
      <c r="B364">
        <v>69779</v>
      </c>
      <c r="C364">
        <v>2024</v>
      </c>
    </row>
    <row r="365" spans="1:3" x14ac:dyDescent="0.35">
      <c r="A365" t="s">
        <v>366</v>
      </c>
      <c r="B365">
        <v>57085</v>
      </c>
      <c r="C365">
        <v>2024</v>
      </c>
    </row>
    <row r="366" spans="1:3" x14ac:dyDescent="0.35">
      <c r="A366" t="s">
        <v>367</v>
      </c>
      <c r="B366">
        <v>100401</v>
      </c>
      <c r="C366">
        <v>2024</v>
      </c>
    </row>
    <row r="367" spans="1:3" x14ac:dyDescent="0.35">
      <c r="A367" t="s">
        <v>368</v>
      </c>
      <c r="B367">
        <v>70236</v>
      </c>
      <c r="C367">
        <v>2024</v>
      </c>
    </row>
    <row r="368" spans="1:3" x14ac:dyDescent="0.35">
      <c r="A368" t="s">
        <v>369</v>
      </c>
      <c r="B368">
        <v>67436</v>
      </c>
      <c r="C368">
        <v>2024</v>
      </c>
    </row>
    <row r="369" spans="1:3" x14ac:dyDescent="0.35">
      <c r="A369" t="s">
        <v>370</v>
      </c>
      <c r="B369">
        <v>82330</v>
      </c>
      <c r="C369">
        <v>2024</v>
      </c>
    </row>
    <row r="370" spans="1:3" x14ac:dyDescent="0.35">
      <c r="A370" t="s">
        <v>371</v>
      </c>
      <c r="B370">
        <v>71300</v>
      </c>
      <c r="C370">
        <v>2024</v>
      </c>
    </row>
    <row r="371" spans="1:3" x14ac:dyDescent="0.35">
      <c r="A371" t="s">
        <v>372</v>
      </c>
      <c r="B371">
        <v>66205</v>
      </c>
      <c r="C371">
        <v>2024</v>
      </c>
    </row>
    <row r="372" spans="1:3" x14ac:dyDescent="0.35">
      <c r="A372" t="s">
        <v>373</v>
      </c>
      <c r="B372">
        <v>74202</v>
      </c>
      <c r="C372">
        <v>2024</v>
      </c>
    </row>
    <row r="373" spans="1:3" x14ac:dyDescent="0.35">
      <c r="A373" t="s">
        <v>374</v>
      </c>
      <c r="B373">
        <v>79345</v>
      </c>
      <c r="C373">
        <v>2024</v>
      </c>
    </row>
    <row r="374" spans="1:3" x14ac:dyDescent="0.35">
      <c r="A374" t="s">
        <v>375</v>
      </c>
      <c r="B374">
        <v>126684</v>
      </c>
      <c r="C374">
        <v>2024</v>
      </c>
    </row>
    <row r="375" spans="1:3" x14ac:dyDescent="0.35">
      <c r="A375" t="s">
        <v>376</v>
      </c>
      <c r="B375">
        <v>86191</v>
      </c>
      <c r="C375">
        <v>2024</v>
      </c>
    </row>
    <row r="376" spans="1:3" x14ac:dyDescent="0.35">
      <c r="A376" t="s">
        <v>377</v>
      </c>
      <c r="B376">
        <v>70811</v>
      </c>
      <c r="C376">
        <v>2024</v>
      </c>
    </row>
    <row r="377" spans="1:3" x14ac:dyDescent="0.35">
      <c r="A377" t="s">
        <v>378</v>
      </c>
      <c r="B377">
        <v>66301</v>
      </c>
      <c r="C377">
        <v>2024</v>
      </c>
    </row>
    <row r="378" spans="1:3" x14ac:dyDescent="0.35">
      <c r="A378" t="s">
        <v>379</v>
      </c>
      <c r="B378">
        <v>77884</v>
      </c>
      <c r="C378">
        <v>2024</v>
      </c>
    </row>
    <row r="379" spans="1:3" x14ac:dyDescent="0.35">
      <c r="A379" t="s">
        <v>380</v>
      </c>
      <c r="B379">
        <v>58784</v>
      </c>
      <c r="C379">
        <v>2024</v>
      </c>
    </row>
    <row r="380" spans="1:3" x14ac:dyDescent="0.35">
      <c r="A380" t="s">
        <v>381</v>
      </c>
      <c r="B380">
        <v>81938</v>
      </c>
      <c r="C380">
        <v>2024</v>
      </c>
    </row>
    <row r="381" spans="1:3" x14ac:dyDescent="0.35">
      <c r="A381" t="s">
        <v>382</v>
      </c>
      <c r="B381">
        <v>57418</v>
      </c>
      <c r="C381">
        <v>2024</v>
      </c>
    </row>
    <row r="382" spans="1:3" x14ac:dyDescent="0.35">
      <c r="A382" t="s">
        <v>383</v>
      </c>
      <c r="B382">
        <v>70655</v>
      </c>
      <c r="C382">
        <v>2024</v>
      </c>
    </row>
    <row r="383" spans="1:3" x14ac:dyDescent="0.35">
      <c r="A383" t="s">
        <v>384</v>
      </c>
      <c r="B383">
        <v>65379</v>
      </c>
      <c r="C383">
        <v>2024</v>
      </c>
    </row>
    <row r="384" spans="1:3" x14ac:dyDescent="0.35">
      <c r="A384" t="s">
        <v>385</v>
      </c>
      <c r="B384">
        <v>76508</v>
      </c>
      <c r="C384">
        <v>2024</v>
      </c>
    </row>
    <row r="385" spans="1:3" x14ac:dyDescent="0.35">
      <c r="A385" t="s">
        <v>386</v>
      </c>
      <c r="B385">
        <v>63917</v>
      </c>
      <c r="C385">
        <v>2024</v>
      </c>
    </row>
    <row r="386" spans="1:3" x14ac:dyDescent="0.35">
      <c r="A386" t="s">
        <v>387</v>
      </c>
      <c r="B386">
        <v>76471</v>
      </c>
      <c r="C386">
        <v>2024</v>
      </c>
    </row>
    <row r="387" spans="1:3" x14ac:dyDescent="0.35">
      <c r="A387" t="s">
        <v>388</v>
      </c>
      <c r="B387">
        <v>84298</v>
      </c>
      <c r="C387">
        <v>2024</v>
      </c>
    </row>
    <row r="388" spans="1:3" x14ac:dyDescent="0.35">
      <c r="A388" t="s">
        <v>389</v>
      </c>
      <c r="B388">
        <v>65975</v>
      </c>
      <c r="C388">
        <v>2024</v>
      </c>
    </row>
    <row r="389" spans="1:3" x14ac:dyDescent="0.35">
      <c r="A389" t="s">
        <v>390</v>
      </c>
      <c r="B389">
        <v>95939</v>
      </c>
      <c r="C389">
        <v>2024</v>
      </c>
    </row>
    <row r="390" spans="1:3" x14ac:dyDescent="0.35">
      <c r="A390" t="s">
        <v>391</v>
      </c>
      <c r="B390">
        <v>70656</v>
      </c>
      <c r="C390">
        <v>2024</v>
      </c>
    </row>
    <row r="391" spans="1:3" x14ac:dyDescent="0.35">
      <c r="A391" t="s">
        <v>392</v>
      </c>
      <c r="B391">
        <v>84829</v>
      </c>
      <c r="C391">
        <v>2024</v>
      </c>
    </row>
    <row r="392" spans="1:3" x14ac:dyDescent="0.35">
      <c r="A392" t="s">
        <v>393</v>
      </c>
      <c r="B392">
        <v>56713</v>
      </c>
      <c r="C392">
        <v>2024</v>
      </c>
    </row>
    <row r="393" spans="1:3" x14ac:dyDescent="0.35">
      <c r="A393" t="s">
        <v>394</v>
      </c>
      <c r="B393">
        <v>78179</v>
      </c>
      <c r="C393">
        <v>2024</v>
      </c>
    </row>
    <row r="394" spans="1:3" x14ac:dyDescent="0.35">
      <c r="A394" t="s">
        <v>395</v>
      </c>
      <c r="B394">
        <v>62876</v>
      </c>
      <c r="C394">
        <v>2024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5"/>
  <sheetViews>
    <sheetView workbookViewId="0"/>
  </sheetViews>
  <sheetFormatPr defaultRowHeight="14.5" x14ac:dyDescent="0.35"/>
  <cols>
    <col min="1" max="1" width="24" customWidth="1"/>
    <col min="2" max="2" width="48" customWidth="1"/>
    <col min="3" max="4" width="22" customWidth="1"/>
    <col min="5" max="5" width="48" customWidth="1"/>
    <col min="6" max="6" width="14" customWidth="1"/>
    <col min="7" max="7" width="18" customWidth="1"/>
  </cols>
  <sheetData>
    <row r="1" spans="1:7" x14ac:dyDescent="0.35">
      <c r="A1" s="2" t="s">
        <v>396</v>
      </c>
      <c r="B1" s="2" t="s">
        <v>397</v>
      </c>
      <c r="C1" s="2" t="s">
        <v>398</v>
      </c>
      <c r="D1" s="2" t="s">
        <v>399</v>
      </c>
      <c r="E1" s="2" t="s">
        <v>400</v>
      </c>
      <c r="F1" s="2" t="s">
        <v>401</v>
      </c>
      <c r="G1" s="2" t="s">
        <v>402</v>
      </c>
    </row>
    <row r="2" spans="1:7" hidden="1" x14ac:dyDescent="0.35">
      <c r="A2" s="1" t="s">
        <v>403</v>
      </c>
      <c r="B2" s="1" t="s">
        <v>392</v>
      </c>
      <c r="C2" s="1" t="s">
        <v>1297</v>
      </c>
      <c r="D2" s="1" t="str">
        <f t="shared" ref="D2:D65" si="0">LEFT(A2,FIND(",",A2)-1)</f>
        <v>York</v>
      </c>
      <c r="E2" s="1" t="str">
        <f>IFERROR(INDEX(Census_Metro_List!$A:$A,MATCH(D2&amp;"*",Census_Metro_List!$A:$A,0)),"No Match")</f>
        <v>York-Hanover, PA Metro Area</v>
      </c>
      <c r="F2" s="1" t="str">
        <f t="shared" ref="F2:F65" si="1">TRIM(RIGHT(A2,LEN(A2)-FIND(",",A2)))</f>
        <v>PA</v>
      </c>
      <c r="G2" s="1" t="str">
        <f t="shared" ref="G2:G65" si="2">IF(E2="No Match","Review",IF(ISNUMBER(SEARCH(F2,E2)),"Likely Match","Review"))</f>
        <v>Likely Match</v>
      </c>
    </row>
    <row r="3" spans="1:7" hidden="1" x14ac:dyDescent="0.35">
      <c r="A3" s="1" t="s">
        <v>404</v>
      </c>
      <c r="B3" s="1" t="s">
        <v>276</v>
      </c>
      <c r="C3" s="1" t="s">
        <v>1297</v>
      </c>
      <c r="D3" s="1" t="str">
        <f t="shared" si="0"/>
        <v>Philadelphia</v>
      </c>
      <c r="E3" s="1" t="str">
        <f>IFERROR(INDEX(Census_Metro_List!$A:$A,MATCH(D3&amp;"*",Census_Metro_List!$A:$A,0)),"No Match")</f>
        <v>Philadelphia-Camden-Wilmington, PA-NJ-DE-MD Metro Area</v>
      </c>
      <c r="F3" s="1" t="str">
        <f t="shared" si="1"/>
        <v>PA</v>
      </c>
      <c r="G3" s="1" t="str">
        <f t="shared" si="2"/>
        <v>Likely Match</v>
      </c>
    </row>
    <row r="4" spans="1:7" hidden="1" x14ac:dyDescent="0.35">
      <c r="A4" s="1" t="s">
        <v>405</v>
      </c>
      <c r="B4" s="1" t="s">
        <v>232</v>
      </c>
      <c r="C4" s="1" t="s">
        <v>1297</v>
      </c>
      <c r="D4" s="1" t="str">
        <f t="shared" si="0"/>
        <v>Miami</v>
      </c>
      <c r="E4" s="1" t="str">
        <f>IFERROR(INDEX(Census_Metro_List!$A:$A,MATCH(D4&amp;"*",Census_Metro_List!$A:$A,0)),"No Match")</f>
        <v>Miami-Fort Lauderdale-West Palm Beach, FL Metro Area</v>
      </c>
      <c r="F4" s="1" t="str">
        <f t="shared" si="1"/>
        <v>FL</v>
      </c>
      <c r="G4" s="1" t="str">
        <f t="shared" si="2"/>
        <v>Likely Match</v>
      </c>
    </row>
    <row r="5" spans="1:7" hidden="1" x14ac:dyDescent="0.35">
      <c r="A5" s="1" t="s">
        <v>406</v>
      </c>
      <c r="B5" s="1" t="s">
        <v>256</v>
      </c>
      <c r="C5" s="1" t="s">
        <v>1297</v>
      </c>
      <c r="D5" s="1" t="str">
        <f t="shared" si="0"/>
        <v>New York</v>
      </c>
      <c r="E5" s="1" t="str">
        <f>IFERROR(INDEX(Census_Metro_List!$A:$A,MATCH(D5&amp;"*",Census_Metro_List!$A:$A,0)),"No Match")</f>
        <v>New York-Newark-Jersey City, NY-NJ Metro Area</v>
      </c>
      <c r="F5" s="1" t="str">
        <f t="shared" si="1"/>
        <v>NY</v>
      </c>
      <c r="G5" s="1" t="str">
        <f t="shared" si="2"/>
        <v>Likely Match</v>
      </c>
    </row>
    <row r="6" spans="1:7" hidden="1" x14ac:dyDescent="0.35">
      <c r="A6" s="1" t="s">
        <v>407</v>
      </c>
      <c r="B6" s="1" t="s">
        <v>217</v>
      </c>
      <c r="C6" s="1" t="s">
        <v>1297</v>
      </c>
      <c r="D6" s="1" t="str">
        <f t="shared" si="0"/>
        <v>Los Angeles</v>
      </c>
      <c r="E6" s="1" t="str">
        <f>IFERROR(INDEX(Census_Metro_List!$A:$A,MATCH(D6&amp;"*",Census_Metro_List!$A:$A,0)),"No Match")</f>
        <v>Los Angeles-Long Beach-Anaheim, CA Metro Area</v>
      </c>
      <c r="F6" s="1" t="str">
        <f t="shared" si="1"/>
        <v>CA</v>
      </c>
      <c r="G6" s="1" t="str">
        <f t="shared" si="2"/>
        <v>Likely Match</v>
      </c>
    </row>
    <row r="7" spans="1:7" hidden="1" x14ac:dyDescent="0.35">
      <c r="A7" s="1" t="s">
        <v>408</v>
      </c>
      <c r="B7" s="1" t="s">
        <v>72</v>
      </c>
      <c r="C7" s="1" t="s">
        <v>1298</v>
      </c>
      <c r="D7" s="1" t="str">
        <f t="shared" si="0"/>
        <v>Chicago</v>
      </c>
      <c r="E7" s="1" t="str">
        <f>IFERROR(INDEX(Census_Metro_List!$A:$A,MATCH(D7&amp;"*",Census_Metro_List!$A:$A,0)),"No Match")</f>
        <v>Chicago-Naperville-Elgin, IL-IN Metro Area</v>
      </c>
      <c r="F7" s="1" t="str">
        <f t="shared" si="1"/>
        <v>IL</v>
      </c>
      <c r="G7" s="1" t="str">
        <f t="shared" si="2"/>
        <v>Likely Match</v>
      </c>
    </row>
    <row r="8" spans="1:7" hidden="1" x14ac:dyDescent="0.35">
      <c r="A8" s="1" t="s">
        <v>409</v>
      </c>
      <c r="B8" s="1" t="s">
        <v>89</v>
      </c>
      <c r="C8" s="1" t="s">
        <v>1298</v>
      </c>
      <c r="D8" s="1" t="str">
        <f t="shared" si="0"/>
        <v>Dallas</v>
      </c>
      <c r="E8" s="1" t="str">
        <f>IFERROR(INDEX(Census_Metro_List!$A:$A,MATCH(D8&amp;"*",Census_Metro_List!$A:$A,0)),"No Match")</f>
        <v>Dallas-Fort Worth-Arlington, TX Metro Area</v>
      </c>
      <c r="F8" s="1" t="str">
        <f t="shared" si="1"/>
        <v>TX</v>
      </c>
      <c r="G8" s="1" t="str">
        <f t="shared" si="2"/>
        <v>Likely Match</v>
      </c>
    </row>
    <row r="9" spans="1:7" hidden="1" x14ac:dyDescent="0.35">
      <c r="A9" s="1" t="s">
        <v>410</v>
      </c>
      <c r="B9" s="1" t="s">
        <v>163</v>
      </c>
      <c r="C9" s="1" t="s">
        <v>1298</v>
      </c>
      <c r="D9" s="1" t="str">
        <f t="shared" si="0"/>
        <v>Houston</v>
      </c>
      <c r="E9" s="1" t="str">
        <f>IFERROR(INDEX(Census_Metro_List!$A:$A,MATCH(D9&amp;"*",Census_Metro_List!$A:$A,0)),"No Match")</f>
        <v>Houston-Pasadena-The Woodlands, TX Metro Area</v>
      </c>
      <c r="F9" s="1" t="str">
        <f t="shared" si="1"/>
        <v>TX</v>
      </c>
      <c r="G9" s="1" t="str">
        <f t="shared" si="2"/>
        <v>Likely Match</v>
      </c>
    </row>
    <row r="10" spans="1:7" hidden="1" x14ac:dyDescent="0.35">
      <c r="A10" s="1" t="s">
        <v>411</v>
      </c>
      <c r="B10" s="1" t="s">
        <v>375</v>
      </c>
      <c r="C10" s="1" t="s">
        <v>1298</v>
      </c>
      <c r="D10" s="1" t="str">
        <f t="shared" si="0"/>
        <v>Washington</v>
      </c>
      <c r="E10" s="1" t="str">
        <f>IFERROR(INDEX(Census_Metro_List!$A:$A,MATCH(D10&amp;"*",Census_Metro_List!$A:$A,0)),"No Match")</f>
        <v>Washington-Arlington-Alexandria, DC-VA-MD-WV Metro Area</v>
      </c>
      <c r="F10" s="1" t="str">
        <f t="shared" si="1"/>
        <v>DC</v>
      </c>
      <c r="G10" s="1" t="str">
        <f t="shared" si="2"/>
        <v>Likely Match</v>
      </c>
    </row>
    <row r="11" spans="1:7" hidden="1" x14ac:dyDescent="0.35">
      <c r="A11" s="1" t="s">
        <v>412</v>
      </c>
      <c r="B11" s="1" t="s">
        <v>23</v>
      </c>
      <c r="C11" s="1" t="s">
        <v>1298</v>
      </c>
      <c r="D11" s="1" t="str">
        <f t="shared" si="0"/>
        <v>Atlanta</v>
      </c>
      <c r="E11" s="1" t="str">
        <f>IFERROR(INDEX(Census_Metro_List!$A:$A,MATCH(D11&amp;"*",Census_Metro_List!$A:$A,0)),"No Match")</f>
        <v>Atlanta-Sandy Springs-Roswell, GA Metro Area</v>
      </c>
      <c r="F11" s="1" t="str">
        <f t="shared" si="1"/>
        <v>GA</v>
      </c>
      <c r="G11" s="1" t="str">
        <f t="shared" si="2"/>
        <v>Likely Match</v>
      </c>
    </row>
    <row r="12" spans="1:7" hidden="1" x14ac:dyDescent="0.35">
      <c r="A12" s="1" t="s">
        <v>413</v>
      </c>
      <c r="B12" s="1" t="s">
        <v>47</v>
      </c>
      <c r="C12" s="1" t="s">
        <v>1298</v>
      </c>
      <c r="D12" s="1" t="str">
        <f t="shared" si="0"/>
        <v>Boston</v>
      </c>
      <c r="E12" s="1" t="str">
        <f>IFERROR(INDEX(Census_Metro_List!$A:$A,MATCH(D12&amp;"*",Census_Metro_List!$A:$A,0)),"No Match")</f>
        <v>Boston-Cambridge-Newton, MA-NH Metro Area</v>
      </c>
      <c r="F12" s="1" t="str">
        <f t="shared" si="1"/>
        <v>MA</v>
      </c>
      <c r="G12" s="1" t="str">
        <f t="shared" si="2"/>
        <v>Likely Match</v>
      </c>
    </row>
    <row r="13" spans="1:7" hidden="1" x14ac:dyDescent="0.35">
      <c r="A13" s="1" t="s">
        <v>414</v>
      </c>
      <c r="B13" s="1" t="s">
        <v>277</v>
      </c>
      <c r="C13" s="1" t="s">
        <v>1298</v>
      </c>
      <c r="D13" s="1" t="str">
        <f t="shared" si="0"/>
        <v>Phoenix</v>
      </c>
      <c r="E13" s="1" t="str">
        <f>IFERROR(INDEX(Census_Metro_List!$A:$A,MATCH(D13&amp;"*",Census_Metro_List!$A:$A,0)),"No Match")</f>
        <v>Phoenix-Mesa-Chandler, AZ Metro Area</v>
      </c>
      <c r="F13" s="1" t="str">
        <f t="shared" si="1"/>
        <v>AZ</v>
      </c>
      <c r="G13" s="1" t="str">
        <f t="shared" si="2"/>
        <v>Likely Match</v>
      </c>
    </row>
    <row r="14" spans="1:7" hidden="1" x14ac:dyDescent="0.35">
      <c r="A14" s="1" t="s">
        <v>415</v>
      </c>
      <c r="B14" s="1" t="s">
        <v>319</v>
      </c>
      <c r="C14" s="1" t="s">
        <v>1298</v>
      </c>
      <c r="D14" s="1" t="str">
        <f t="shared" si="0"/>
        <v>San Francisco</v>
      </c>
      <c r="E14" s="1" t="str">
        <f>IFERROR(INDEX(Census_Metro_List!$A:$A,MATCH(D14&amp;"*",Census_Metro_List!$A:$A,0)),"No Match")</f>
        <v>San Francisco-Oakland-Fremont, CA Metro Area</v>
      </c>
      <c r="F14" s="1" t="str">
        <f t="shared" si="1"/>
        <v>CA</v>
      </c>
      <c r="G14" s="1" t="str">
        <f t="shared" si="2"/>
        <v>Likely Match</v>
      </c>
    </row>
    <row r="15" spans="1:7" hidden="1" x14ac:dyDescent="0.35">
      <c r="A15" s="1" t="s">
        <v>416</v>
      </c>
      <c r="B15" s="1" t="s">
        <v>298</v>
      </c>
      <c r="C15" s="1" t="s">
        <v>1298</v>
      </c>
      <c r="D15" s="1" t="str">
        <f t="shared" si="0"/>
        <v>Riverside</v>
      </c>
      <c r="E15" s="1" t="str">
        <f>IFERROR(INDEX(Census_Metro_List!$A:$A,MATCH(D15&amp;"*",Census_Metro_List!$A:$A,0)),"No Match")</f>
        <v>Riverside-San Bernardino-Ontario, CA Metro Area</v>
      </c>
      <c r="F15" s="1" t="str">
        <f t="shared" si="1"/>
        <v>CA</v>
      </c>
      <c r="G15" s="1" t="str">
        <f t="shared" si="2"/>
        <v>Likely Match</v>
      </c>
    </row>
    <row r="16" spans="1:7" hidden="1" x14ac:dyDescent="0.35">
      <c r="A16" s="1" t="s">
        <v>417</v>
      </c>
      <c r="B16" s="1" t="s">
        <v>99</v>
      </c>
      <c r="C16" s="1" t="s">
        <v>1298</v>
      </c>
      <c r="D16" s="1" t="str">
        <f t="shared" si="0"/>
        <v>Detroit</v>
      </c>
      <c r="E16" s="1" t="str">
        <f>IFERROR(INDEX(Census_Metro_List!$A:$A,MATCH(D16&amp;"*",Census_Metro_List!$A:$A,0)),"No Match")</f>
        <v>Detroit-Warren-Dearborn, MI Metro Area</v>
      </c>
      <c r="F16" s="1" t="str">
        <f t="shared" si="1"/>
        <v>MI</v>
      </c>
      <c r="G16" s="1" t="str">
        <f t="shared" si="2"/>
        <v>Likely Match</v>
      </c>
    </row>
    <row r="17" spans="1:7" hidden="1" x14ac:dyDescent="0.35">
      <c r="A17" s="1" t="s">
        <v>418</v>
      </c>
      <c r="B17" s="1" t="s">
        <v>329</v>
      </c>
      <c r="C17" s="1" t="s">
        <v>1298</v>
      </c>
      <c r="D17" s="1" t="str">
        <f t="shared" si="0"/>
        <v>Seattle</v>
      </c>
      <c r="E17" s="1" t="str">
        <f>IFERROR(INDEX(Census_Metro_List!$A:$A,MATCH(D17&amp;"*",Census_Metro_List!$A:$A,0)),"No Match")</f>
        <v>Seattle-Tacoma-Bellevue, WA Metro Area</v>
      </c>
      <c r="F17" s="1" t="str">
        <f t="shared" si="1"/>
        <v>WA</v>
      </c>
      <c r="G17" s="1" t="str">
        <f t="shared" si="2"/>
        <v>Likely Match</v>
      </c>
    </row>
    <row r="18" spans="1:7" hidden="1" x14ac:dyDescent="0.35">
      <c r="A18" s="1" t="s">
        <v>419</v>
      </c>
      <c r="B18" s="1" t="s">
        <v>237</v>
      </c>
      <c r="C18" s="1" t="s">
        <v>1298</v>
      </c>
      <c r="D18" s="1" t="str">
        <f t="shared" si="0"/>
        <v>Minneapolis</v>
      </c>
      <c r="E18" s="1" t="str">
        <f>IFERROR(INDEX(Census_Metro_List!$A:$A,MATCH(D18&amp;"*",Census_Metro_List!$A:$A,0)),"No Match")</f>
        <v>Minneapolis-St. Paul-Bloomington, MN-WI Metro Area</v>
      </c>
      <c r="F18" s="1" t="str">
        <f t="shared" si="1"/>
        <v>MN</v>
      </c>
      <c r="G18" s="1" t="str">
        <f t="shared" si="2"/>
        <v>Likely Match</v>
      </c>
    </row>
    <row r="19" spans="1:7" hidden="1" x14ac:dyDescent="0.35">
      <c r="A19" s="1" t="s">
        <v>420</v>
      </c>
      <c r="B19" s="1" t="s">
        <v>317</v>
      </c>
      <c r="C19" s="1" t="s">
        <v>1298</v>
      </c>
      <c r="D19" s="1" t="str">
        <f t="shared" si="0"/>
        <v>San Diego</v>
      </c>
      <c r="E19" s="1" t="str">
        <f>IFERROR(INDEX(Census_Metro_List!$A:$A,MATCH(D19&amp;"*",Census_Metro_List!$A:$A,0)),"No Match")</f>
        <v>San Diego-Chula Vista-Carlsbad, CA Metro Area</v>
      </c>
      <c r="F19" s="1" t="str">
        <f t="shared" si="1"/>
        <v>CA</v>
      </c>
      <c r="G19" s="1" t="str">
        <f t="shared" si="2"/>
        <v>Likely Match</v>
      </c>
    </row>
    <row r="20" spans="1:7" hidden="1" x14ac:dyDescent="0.35">
      <c r="A20" s="1" t="s">
        <v>421</v>
      </c>
      <c r="B20" s="1" t="s">
        <v>352</v>
      </c>
      <c r="C20" s="1" t="s">
        <v>1298</v>
      </c>
      <c r="D20" s="1" t="str">
        <f t="shared" si="0"/>
        <v>Tampa</v>
      </c>
      <c r="E20" s="1" t="str">
        <f>IFERROR(INDEX(Census_Metro_List!$A:$A,MATCH(D20&amp;"*",Census_Metro_List!$A:$A,0)),"No Match")</f>
        <v>Tampa-St. Petersburg-Clearwater, FL Metro Area</v>
      </c>
      <c r="F20" s="1" t="str">
        <f t="shared" si="1"/>
        <v>FL</v>
      </c>
      <c r="G20" s="1" t="str">
        <f t="shared" si="2"/>
        <v>Likely Match</v>
      </c>
    </row>
    <row r="21" spans="1:7" hidden="1" x14ac:dyDescent="0.35">
      <c r="A21" s="1" t="s">
        <v>422</v>
      </c>
      <c r="B21" s="1" t="s">
        <v>97</v>
      </c>
      <c r="C21" s="1" t="s">
        <v>1298</v>
      </c>
      <c r="D21" s="1" t="str">
        <f t="shared" si="0"/>
        <v>Denver</v>
      </c>
      <c r="E21" s="1" t="str">
        <f>IFERROR(INDEX(Census_Metro_List!$A:$A,MATCH(D21&amp;"*",Census_Metro_List!$A:$A,0)),"No Match")</f>
        <v>Denver-Aurora-Centennial, CO Metro Area</v>
      </c>
      <c r="F21" s="1" t="str">
        <f t="shared" si="1"/>
        <v>CO</v>
      </c>
      <c r="G21" s="1" t="str">
        <f t="shared" si="2"/>
        <v>Likely Match</v>
      </c>
    </row>
    <row r="22" spans="1:7" hidden="1" x14ac:dyDescent="0.35">
      <c r="A22" s="1" t="s">
        <v>423</v>
      </c>
      <c r="B22" s="1" t="s">
        <v>29</v>
      </c>
      <c r="C22" s="1" t="s">
        <v>1298</v>
      </c>
      <c r="D22" s="1" t="str">
        <f t="shared" si="0"/>
        <v>Baltimore</v>
      </c>
      <c r="E22" s="1" t="str">
        <f>IFERROR(INDEX(Census_Metro_List!$A:$A,MATCH(D22&amp;"*",Census_Metro_List!$A:$A,0)),"No Match")</f>
        <v>Baltimore-Columbia-Towson, MD Metro Area</v>
      </c>
      <c r="F22" s="1" t="str">
        <f t="shared" si="1"/>
        <v>MD</v>
      </c>
      <c r="G22" s="1" t="str">
        <f t="shared" si="2"/>
        <v>Likely Match</v>
      </c>
    </row>
    <row r="23" spans="1:7" hidden="1" x14ac:dyDescent="0.35">
      <c r="A23" s="1" t="s">
        <v>424</v>
      </c>
      <c r="B23" s="1" t="s">
        <v>310</v>
      </c>
      <c r="C23" s="1" t="s">
        <v>1298</v>
      </c>
      <c r="D23" s="1" t="str">
        <f t="shared" si="0"/>
        <v>St. Louis</v>
      </c>
      <c r="E23" s="1" t="str">
        <f>IFERROR(INDEX(Census_Metro_List!$A:$A,MATCH(D23&amp;"*",Census_Metro_List!$A:$A,0)),"No Match")</f>
        <v>St. Louis, MO-IL Metro Area</v>
      </c>
      <c r="F23" s="1" t="str">
        <f t="shared" si="1"/>
        <v>MO</v>
      </c>
      <c r="G23" s="1" t="str">
        <f t="shared" si="2"/>
        <v>Likely Match</v>
      </c>
    </row>
    <row r="24" spans="1:7" hidden="1" x14ac:dyDescent="0.35">
      <c r="A24" s="1" t="s">
        <v>425</v>
      </c>
      <c r="B24" s="1" t="s">
        <v>266</v>
      </c>
      <c r="C24" s="1" t="s">
        <v>1298</v>
      </c>
      <c r="D24" s="1" t="str">
        <f t="shared" si="0"/>
        <v>Orlando</v>
      </c>
      <c r="E24" s="1" t="str">
        <f>IFERROR(INDEX(Census_Metro_List!$A:$A,MATCH(D24&amp;"*",Census_Metro_List!$A:$A,0)),"No Match")</f>
        <v>Orlando-Kissimmee-Sanford, FL Metro Area</v>
      </c>
      <c r="F24" s="1" t="str">
        <f t="shared" si="1"/>
        <v>FL</v>
      </c>
      <c r="G24" s="1" t="str">
        <f t="shared" si="2"/>
        <v>Likely Match</v>
      </c>
    </row>
    <row r="25" spans="1:7" hidden="1" x14ac:dyDescent="0.35">
      <c r="A25" s="1" t="s">
        <v>426</v>
      </c>
      <c r="B25" s="1" t="s">
        <v>68</v>
      </c>
      <c r="C25" s="1" t="s">
        <v>1298</v>
      </c>
      <c r="D25" s="1" t="str">
        <f t="shared" si="0"/>
        <v>Charlotte</v>
      </c>
      <c r="E25" s="1" t="str">
        <f>IFERROR(INDEX(Census_Metro_List!$A:$A,MATCH(D25&amp;"*",Census_Metro_List!$A:$A,0)),"No Match")</f>
        <v>Charlotte-Concord-Gastonia, NC-SC Metro Area</v>
      </c>
      <c r="F25" s="1" t="str">
        <f t="shared" si="1"/>
        <v>NC</v>
      </c>
      <c r="G25" s="1" t="str">
        <f t="shared" si="2"/>
        <v>Likely Match</v>
      </c>
    </row>
    <row r="26" spans="1:7" hidden="1" x14ac:dyDescent="0.35">
      <c r="A26" s="1" t="s">
        <v>427</v>
      </c>
      <c r="B26" s="1" t="s">
        <v>316</v>
      </c>
      <c r="C26" s="1" t="s">
        <v>1298</v>
      </c>
      <c r="D26" s="1" t="str">
        <f t="shared" si="0"/>
        <v>San Antonio</v>
      </c>
      <c r="E26" s="1" t="str">
        <f>IFERROR(INDEX(Census_Metro_List!$A:$A,MATCH(D26&amp;"*",Census_Metro_List!$A:$A,0)),"No Match")</f>
        <v>San Antonio-New Braunfels, TX Metro Area</v>
      </c>
      <c r="F26" s="1" t="str">
        <f t="shared" si="1"/>
        <v>TX</v>
      </c>
      <c r="G26" s="1" t="str">
        <f t="shared" si="2"/>
        <v>Likely Match</v>
      </c>
    </row>
    <row r="27" spans="1:7" hidden="1" x14ac:dyDescent="0.35">
      <c r="A27" s="1" t="s">
        <v>428</v>
      </c>
      <c r="B27" s="1" t="s">
        <v>284</v>
      </c>
      <c r="C27" s="1" t="s">
        <v>1298</v>
      </c>
      <c r="D27" s="1" t="str">
        <f t="shared" si="0"/>
        <v>Portland</v>
      </c>
      <c r="E27" s="1" t="str">
        <f>IFERROR(INDEX(Census_Metro_List!$A:$A,MATCH(D27&amp;"*",Census_Metro_List!$A:$A,0)),"No Match")</f>
        <v>Portland-South Portland, ME Metro Area</v>
      </c>
      <c r="F27" s="1" t="str">
        <f t="shared" si="1"/>
        <v>OR</v>
      </c>
      <c r="G27" s="1" t="str">
        <f t="shared" si="2"/>
        <v>Likely Match</v>
      </c>
    </row>
    <row r="28" spans="1:7" hidden="1" x14ac:dyDescent="0.35">
      <c r="A28" s="1" t="s">
        <v>429</v>
      </c>
      <c r="B28" s="1" t="s">
        <v>305</v>
      </c>
      <c r="C28" s="1" t="s">
        <v>1298</v>
      </c>
      <c r="D28" s="1" t="str">
        <f t="shared" si="0"/>
        <v>Sacramento</v>
      </c>
      <c r="E28" s="1" t="str">
        <f>IFERROR(INDEX(Census_Metro_List!$A:$A,MATCH(D28&amp;"*",Census_Metro_List!$A:$A,0)),"No Match")</f>
        <v>Sacramento-Roseville-Folsom, CA Metro Area</v>
      </c>
      <c r="F28" s="1" t="str">
        <f t="shared" si="1"/>
        <v>CA</v>
      </c>
      <c r="G28" s="1" t="str">
        <f t="shared" si="2"/>
        <v>Likely Match</v>
      </c>
    </row>
    <row r="29" spans="1:7" hidden="1" x14ac:dyDescent="0.35">
      <c r="A29" s="1" t="s">
        <v>430</v>
      </c>
      <c r="B29" s="1" t="s">
        <v>279</v>
      </c>
      <c r="C29" s="1" t="s">
        <v>1298</v>
      </c>
      <c r="D29" s="1" t="str">
        <f t="shared" si="0"/>
        <v>Pittsburgh</v>
      </c>
      <c r="E29" s="1" t="str">
        <f>IFERROR(INDEX(Census_Metro_List!$A:$A,MATCH(D29&amp;"*",Census_Metro_List!$A:$A,0)),"No Match")</f>
        <v>Pittsburgh, PA Metro Area</v>
      </c>
      <c r="F29" s="1" t="str">
        <f t="shared" si="1"/>
        <v>PA</v>
      </c>
      <c r="G29" s="1" t="str">
        <f t="shared" si="2"/>
        <v>Likely Match</v>
      </c>
    </row>
    <row r="30" spans="1:7" hidden="1" x14ac:dyDescent="0.35">
      <c r="A30" s="1" t="s">
        <v>431</v>
      </c>
      <c r="B30" s="1" t="s">
        <v>74</v>
      </c>
      <c r="C30" s="1" t="s">
        <v>1298</v>
      </c>
      <c r="D30" s="1" t="str">
        <f t="shared" si="0"/>
        <v>Cincinnati</v>
      </c>
      <c r="E30" s="1" t="str">
        <f>IFERROR(INDEX(Census_Metro_List!$A:$A,MATCH(D30&amp;"*",Census_Metro_List!$A:$A,0)),"No Match")</f>
        <v>Cincinnati, OH-KY-IN Metro Area</v>
      </c>
      <c r="F30" s="1" t="str">
        <f t="shared" si="1"/>
        <v>OH</v>
      </c>
      <c r="G30" s="1" t="str">
        <f t="shared" si="2"/>
        <v>Likely Match</v>
      </c>
    </row>
    <row r="31" spans="1:7" hidden="1" x14ac:dyDescent="0.35">
      <c r="A31" s="1" t="s">
        <v>432</v>
      </c>
      <c r="B31" s="1" t="s">
        <v>27</v>
      </c>
      <c r="C31" s="1" t="s">
        <v>1298</v>
      </c>
      <c r="D31" s="1" t="str">
        <f t="shared" si="0"/>
        <v>Austin</v>
      </c>
      <c r="E31" s="1" t="str">
        <f>IFERROR(INDEX(Census_Metro_List!$A:$A,MATCH(D31&amp;"*",Census_Metro_List!$A:$A,0)),"No Match")</f>
        <v>Austin-Round Rock-San Marcos, TX Metro Area</v>
      </c>
      <c r="F31" s="1" t="str">
        <f t="shared" si="1"/>
        <v>TX</v>
      </c>
      <c r="G31" s="1" t="str">
        <f t="shared" si="2"/>
        <v>Likely Match</v>
      </c>
    </row>
    <row r="32" spans="1:7" hidden="1" x14ac:dyDescent="0.35">
      <c r="A32" s="1" t="s">
        <v>433</v>
      </c>
      <c r="B32" s="1" t="s">
        <v>203</v>
      </c>
      <c r="C32" s="1" t="s">
        <v>1298</v>
      </c>
      <c r="D32" s="1" t="str">
        <f t="shared" si="0"/>
        <v>Las Vegas</v>
      </c>
      <c r="E32" s="1" t="str">
        <f>IFERROR(INDEX(Census_Metro_List!$A:$A,MATCH(D32&amp;"*",Census_Metro_List!$A:$A,0)),"No Match")</f>
        <v>Las Vegas-Henderson-North Las Vegas, NV Metro Area</v>
      </c>
      <c r="F32" s="1" t="str">
        <f t="shared" si="1"/>
        <v>NV</v>
      </c>
      <c r="G32" s="1" t="str">
        <f t="shared" si="2"/>
        <v>Likely Match</v>
      </c>
    </row>
    <row r="33" spans="1:7" hidden="1" x14ac:dyDescent="0.35">
      <c r="A33" s="1" t="s">
        <v>434</v>
      </c>
      <c r="B33" s="1" t="s">
        <v>184</v>
      </c>
      <c r="C33" s="1" t="s">
        <v>1298</v>
      </c>
      <c r="D33" s="1" t="str">
        <f t="shared" si="0"/>
        <v>Kansas City</v>
      </c>
      <c r="E33" s="1" t="str">
        <f>IFERROR(INDEX(Census_Metro_List!$A:$A,MATCH(D33&amp;"*",Census_Metro_List!$A:$A,0)),"No Match")</f>
        <v>Kansas City, MO-KS Metro Area</v>
      </c>
      <c r="F33" s="1" t="str">
        <f t="shared" si="1"/>
        <v>MO</v>
      </c>
      <c r="G33" s="1" t="str">
        <f t="shared" si="2"/>
        <v>Likely Match</v>
      </c>
    </row>
    <row r="34" spans="1:7" x14ac:dyDescent="0.35">
      <c r="A34" s="1" t="s">
        <v>435</v>
      </c>
      <c r="B34" s="1" t="s">
        <v>85</v>
      </c>
      <c r="C34" s="1" t="s">
        <v>1298</v>
      </c>
      <c r="D34" s="1" t="str">
        <f t="shared" si="0"/>
        <v>Columbus</v>
      </c>
      <c r="E34" s="1" t="str">
        <f>IFERROR(INDEX(Census_Metro_List!$A:$A,MATCH(D34&amp;"*",Census_Metro_List!$A:$A,0)),"No Match")</f>
        <v>Columbus, GA-AL Metro Area</v>
      </c>
      <c r="F34" s="1" t="str">
        <f t="shared" si="1"/>
        <v>OH</v>
      </c>
      <c r="G34" s="1" t="str">
        <f t="shared" si="2"/>
        <v>Review</v>
      </c>
    </row>
    <row r="35" spans="1:7" hidden="1" x14ac:dyDescent="0.35">
      <c r="A35" s="1" t="s">
        <v>436</v>
      </c>
      <c r="B35" s="1" t="s">
        <v>167</v>
      </c>
      <c r="C35" s="1" t="s">
        <v>1298</v>
      </c>
      <c r="D35" s="1" t="str">
        <f t="shared" si="0"/>
        <v>Indianapolis</v>
      </c>
      <c r="E35" s="1" t="str">
        <f>IFERROR(INDEX(Census_Metro_List!$A:$A,MATCH(D35&amp;"*",Census_Metro_List!$A:$A,0)),"No Match")</f>
        <v>Indianapolis-Carmel-Greenwood, IN Metro Area</v>
      </c>
      <c r="F35" s="1" t="str">
        <f t="shared" si="1"/>
        <v>IN</v>
      </c>
      <c r="G35" s="1" t="str">
        <f t="shared" si="2"/>
        <v>Likely Match</v>
      </c>
    </row>
    <row r="36" spans="1:7" hidden="1" x14ac:dyDescent="0.35">
      <c r="A36" s="1" t="s">
        <v>437</v>
      </c>
      <c r="B36" s="1" t="s">
        <v>76</v>
      </c>
      <c r="C36" s="1" t="s">
        <v>1298</v>
      </c>
      <c r="D36" s="1" t="str">
        <f t="shared" si="0"/>
        <v>Cleveland</v>
      </c>
      <c r="E36" s="1" t="str">
        <f>IFERROR(INDEX(Census_Metro_List!$A:$A,MATCH(D36&amp;"*",Census_Metro_List!$A:$A,0)),"No Match")</f>
        <v>Cleveland, OH Metro Area</v>
      </c>
      <c r="F36" s="1" t="str">
        <f t="shared" si="1"/>
        <v>OH</v>
      </c>
      <c r="G36" s="1" t="str">
        <f t="shared" si="2"/>
        <v>Likely Match</v>
      </c>
    </row>
    <row r="37" spans="1:7" hidden="1" x14ac:dyDescent="0.35">
      <c r="A37" s="1" t="s">
        <v>438</v>
      </c>
      <c r="B37" s="1" t="s">
        <v>320</v>
      </c>
      <c r="C37" s="1" t="s">
        <v>1298</v>
      </c>
      <c r="D37" s="1" t="str">
        <f t="shared" si="0"/>
        <v>San Jose</v>
      </c>
      <c r="E37" s="1" t="str">
        <f>IFERROR(INDEX(Census_Metro_List!$A:$A,MATCH(D37&amp;"*",Census_Metro_List!$A:$A,0)),"No Match")</f>
        <v>San Jose-Sunnyvale-Santa Clara, CA Metro Area</v>
      </c>
      <c r="F37" s="1" t="str">
        <f t="shared" si="1"/>
        <v>CA</v>
      </c>
      <c r="G37" s="1" t="str">
        <f t="shared" si="2"/>
        <v>Likely Match</v>
      </c>
    </row>
    <row r="38" spans="1:7" hidden="1" x14ac:dyDescent="0.35">
      <c r="A38" s="1" t="s">
        <v>439</v>
      </c>
      <c r="B38" s="1" t="s">
        <v>253</v>
      </c>
      <c r="C38" s="1" t="s">
        <v>1298</v>
      </c>
      <c r="D38" s="1" t="str">
        <f t="shared" si="0"/>
        <v>Nashville</v>
      </c>
      <c r="E38" s="1" t="str">
        <f>IFERROR(INDEX(Census_Metro_List!$A:$A,MATCH(D38&amp;"*",Census_Metro_List!$A:$A,0)),"No Match")</f>
        <v>Nashville-Davidson--Murfreesboro--Franklin, TN Metro Area</v>
      </c>
      <c r="F38" s="1" t="str">
        <f t="shared" si="1"/>
        <v>TN</v>
      </c>
      <c r="G38" s="1" t="str">
        <f t="shared" si="2"/>
        <v>Likely Match</v>
      </c>
    </row>
    <row r="39" spans="1:7" hidden="1" x14ac:dyDescent="0.35">
      <c r="A39" s="1" t="s">
        <v>440</v>
      </c>
      <c r="B39" s="1" t="s">
        <v>370</v>
      </c>
      <c r="C39" s="1" t="s">
        <v>1298</v>
      </c>
      <c r="D39" s="1" t="str">
        <f t="shared" si="0"/>
        <v>Virginia Beach</v>
      </c>
      <c r="E39" s="1" t="str">
        <f>IFERROR(INDEX(Census_Metro_List!$A:$A,MATCH(D39&amp;"*",Census_Metro_List!$A:$A,0)),"No Match")</f>
        <v>Virginia Beach-Chesapeake-Norfolk, VA-NC Metro Area</v>
      </c>
      <c r="F39" s="1" t="str">
        <f t="shared" si="1"/>
        <v>VA</v>
      </c>
      <c r="G39" s="1" t="str">
        <f t="shared" si="2"/>
        <v>Likely Match</v>
      </c>
    </row>
    <row r="40" spans="1:7" hidden="1" x14ac:dyDescent="0.35">
      <c r="A40" s="1" t="s">
        <v>441</v>
      </c>
      <c r="B40" s="1" t="s">
        <v>287</v>
      </c>
      <c r="C40" s="1" t="s">
        <v>1298</v>
      </c>
      <c r="D40" s="1" t="str">
        <f t="shared" si="0"/>
        <v>Providence</v>
      </c>
      <c r="E40" s="1" t="str">
        <f>IFERROR(INDEX(Census_Metro_List!$A:$A,MATCH(D40&amp;"*",Census_Metro_List!$A:$A,0)),"No Match")</f>
        <v>Providence-Warwick, RI-MA Metro Area</v>
      </c>
      <c r="F40" s="1" t="str">
        <f t="shared" si="1"/>
        <v>RI</v>
      </c>
      <c r="G40" s="1" t="str">
        <f t="shared" si="2"/>
        <v>Likely Match</v>
      </c>
    </row>
    <row r="41" spans="1:7" hidden="1" x14ac:dyDescent="0.35">
      <c r="A41" s="1" t="s">
        <v>442</v>
      </c>
      <c r="B41" s="1" t="s">
        <v>173</v>
      </c>
      <c r="C41" s="1" t="s">
        <v>1298</v>
      </c>
      <c r="D41" s="1" t="str">
        <f t="shared" si="0"/>
        <v>Jacksonville</v>
      </c>
      <c r="E41" s="1" t="str">
        <f>IFERROR(INDEX(Census_Metro_List!$A:$A,MATCH(D41&amp;"*",Census_Metro_List!$A:$A,0)),"No Match")</f>
        <v>Jacksonville, FL Metro Area</v>
      </c>
      <c r="F41" s="1" t="str">
        <f t="shared" si="1"/>
        <v>FL</v>
      </c>
      <c r="G41" s="1" t="str">
        <f t="shared" si="2"/>
        <v>Likely Match</v>
      </c>
    </row>
    <row r="42" spans="1:7" hidden="1" x14ac:dyDescent="0.35">
      <c r="A42" s="1" t="s">
        <v>443</v>
      </c>
      <c r="B42" s="1" t="s">
        <v>236</v>
      </c>
      <c r="C42" s="1" t="s">
        <v>1298</v>
      </c>
      <c r="D42" s="1" t="str">
        <f t="shared" si="0"/>
        <v>Milwaukee</v>
      </c>
      <c r="E42" s="1" t="str">
        <f>IFERROR(INDEX(Census_Metro_List!$A:$A,MATCH(D42&amp;"*",Census_Metro_List!$A:$A,0)),"No Match")</f>
        <v>Milwaukee-Waukesha, WI Metro Area</v>
      </c>
      <c r="F42" s="1" t="str">
        <f t="shared" si="1"/>
        <v>WI</v>
      </c>
      <c r="G42" s="1" t="str">
        <f t="shared" si="2"/>
        <v>Likely Match</v>
      </c>
    </row>
    <row r="43" spans="1:7" hidden="1" x14ac:dyDescent="0.35">
      <c r="A43" s="1" t="s">
        <v>444</v>
      </c>
      <c r="B43" s="1" t="s">
        <v>263</v>
      </c>
      <c r="C43" s="1" t="s">
        <v>1298</v>
      </c>
      <c r="D43" s="1" t="str">
        <f t="shared" si="0"/>
        <v>Oklahoma City</v>
      </c>
      <c r="E43" s="1" t="str">
        <f>IFERROR(INDEX(Census_Metro_List!$A:$A,MATCH(D43&amp;"*",Census_Metro_List!$A:$A,0)),"No Match")</f>
        <v>Oklahoma City, OK Metro Area</v>
      </c>
      <c r="F43" s="1" t="str">
        <f t="shared" si="1"/>
        <v>OK</v>
      </c>
      <c r="G43" s="1" t="str">
        <f t="shared" si="2"/>
        <v>Likely Match</v>
      </c>
    </row>
    <row r="44" spans="1:7" hidden="1" x14ac:dyDescent="0.35">
      <c r="A44" s="1" t="s">
        <v>445</v>
      </c>
      <c r="B44" s="1" t="s">
        <v>292</v>
      </c>
      <c r="C44" s="1" t="s">
        <v>1298</v>
      </c>
      <c r="D44" s="1" t="str">
        <f t="shared" si="0"/>
        <v>Raleigh</v>
      </c>
      <c r="E44" s="1" t="str">
        <f>IFERROR(INDEX(Census_Metro_List!$A:$A,MATCH(D44&amp;"*",Census_Metro_List!$A:$A,0)),"No Match")</f>
        <v>Raleigh-Cary, NC Metro Area</v>
      </c>
      <c r="F44" s="1" t="str">
        <f t="shared" si="1"/>
        <v>NC</v>
      </c>
      <c r="G44" s="1" t="str">
        <f t="shared" si="2"/>
        <v>Likely Match</v>
      </c>
    </row>
    <row r="45" spans="1:7" hidden="1" x14ac:dyDescent="0.35">
      <c r="A45" s="1" t="s">
        <v>446</v>
      </c>
      <c r="B45" s="1" t="s">
        <v>230</v>
      </c>
      <c r="C45" s="1" t="s">
        <v>1298</v>
      </c>
      <c r="D45" s="1" t="str">
        <f t="shared" si="0"/>
        <v>Memphis</v>
      </c>
      <c r="E45" s="1" t="str">
        <f>IFERROR(INDEX(Census_Metro_List!$A:$A,MATCH(D45&amp;"*",Census_Metro_List!$A:$A,0)),"No Match")</f>
        <v>Memphis, TN-MS-AR Metro Area</v>
      </c>
      <c r="F45" s="1" t="str">
        <f t="shared" si="1"/>
        <v>TN</v>
      </c>
      <c r="G45" s="1" t="str">
        <f t="shared" si="2"/>
        <v>Likely Match</v>
      </c>
    </row>
    <row r="46" spans="1:7" hidden="1" x14ac:dyDescent="0.35">
      <c r="A46" s="1" t="s">
        <v>447</v>
      </c>
      <c r="B46" s="1" t="s">
        <v>297</v>
      </c>
      <c r="C46" s="1" t="s">
        <v>1298</v>
      </c>
      <c r="D46" s="1" t="str">
        <f t="shared" si="0"/>
        <v>Richmond</v>
      </c>
      <c r="E46" s="1" t="str">
        <f>IFERROR(INDEX(Census_Metro_List!$A:$A,MATCH(D46&amp;"*",Census_Metro_List!$A:$A,0)),"No Match")</f>
        <v>Richmond, VA Metro Area</v>
      </c>
      <c r="F46" s="1" t="str">
        <f t="shared" si="1"/>
        <v>VA</v>
      </c>
      <c r="G46" s="1" t="str">
        <f t="shared" si="2"/>
        <v>Likely Match</v>
      </c>
    </row>
    <row r="47" spans="1:7" hidden="1" x14ac:dyDescent="0.35">
      <c r="A47" s="1" t="s">
        <v>448</v>
      </c>
      <c r="B47" s="1"/>
      <c r="C47" s="1" t="s">
        <v>1299</v>
      </c>
      <c r="D47" s="1" t="str">
        <f t="shared" si="0"/>
        <v>Louisville</v>
      </c>
      <c r="E47" s="1" t="str">
        <f>IFERROR(INDEX(Census_Metro_List!$A:$A,MATCH(D47&amp;"*",Census_Metro_List!$A:$A,0)),"No Match")</f>
        <v>Louisville/Jefferson County, KY-IN Metro Area</v>
      </c>
      <c r="F47" s="1" t="str">
        <f t="shared" si="1"/>
        <v>KY</v>
      </c>
      <c r="G47" s="1" t="str">
        <f t="shared" si="2"/>
        <v>Likely Match</v>
      </c>
    </row>
    <row r="48" spans="1:7" hidden="1" x14ac:dyDescent="0.35">
      <c r="A48" s="1" t="s">
        <v>449</v>
      </c>
      <c r="B48" s="1" t="s">
        <v>255</v>
      </c>
      <c r="C48" s="1" t="s">
        <v>1298</v>
      </c>
      <c r="D48" s="1" t="str">
        <f t="shared" si="0"/>
        <v>New Orleans</v>
      </c>
      <c r="E48" s="1" t="str">
        <f>IFERROR(INDEX(Census_Metro_List!$A:$A,MATCH(D48&amp;"*",Census_Metro_List!$A:$A,0)),"No Match")</f>
        <v>New Orleans-Metairie, LA Metro Area</v>
      </c>
      <c r="F48" s="1" t="str">
        <f t="shared" si="1"/>
        <v>LA</v>
      </c>
      <c r="G48" s="1" t="str">
        <f t="shared" si="2"/>
        <v>Likely Match</v>
      </c>
    </row>
    <row r="49" spans="1:7" hidden="1" x14ac:dyDescent="0.35">
      <c r="A49" s="1" t="s">
        <v>450</v>
      </c>
      <c r="B49" s="1" t="s">
        <v>314</v>
      </c>
      <c r="C49" s="1" t="s">
        <v>1298</v>
      </c>
      <c r="D49" s="1" t="str">
        <f t="shared" si="0"/>
        <v>Salt Lake City</v>
      </c>
      <c r="E49" s="1" t="str">
        <f>IFERROR(INDEX(Census_Metro_List!$A:$A,MATCH(D49&amp;"*",Census_Metro_List!$A:$A,0)),"No Match")</f>
        <v>Salt Lake City-Murray, UT Metro Area</v>
      </c>
      <c r="F49" s="1" t="str">
        <f t="shared" si="1"/>
        <v>UT</v>
      </c>
      <c r="G49" s="1" t="str">
        <f t="shared" si="2"/>
        <v>Likely Match</v>
      </c>
    </row>
    <row r="50" spans="1:7" hidden="1" x14ac:dyDescent="0.35">
      <c r="A50" s="1" t="s">
        <v>451</v>
      </c>
      <c r="B50" s="1" t="s">
        <v>154</v>
      </c>
      <c r="C50" s="1" t="s">
        <v>1298</v>
      </c>
      <c r="D50" s="1" t="str">
        <f t="shared" si="0"/>
        <v>Hartford</v>
      </c>
      <c r="E50" s="1" t="str">
        <f>IFERROR(INDEX(Census_Metro_List!$A:$A,MATCH(D50&amp;"*",Census_Metro_List!$A:$A,0)),"No Match")</f>
        <v>Hartford-West Hartford-East Hartford, CT Metro Area</v>
      </c>
      <c r="F50" s="1" t="str">
        <f t="shared" si="1"/>
        <v>CT</v>
      </c>
      <c r="G50" s="1" t="str">
        <f t="shared" si="2"/>
        <v>Likely Match</v>
      </c>
    </row>
    <row r="51" spans="1:7" hidden="1" x14ac:dyDescent="0.35">
      <c r="A51" s="1" t="s">
        <v>452</v>
      </c>
      <c r="B51" s="1" t="s">
        <v>55</v>
      </c>
      <c r="C51" s="1" t="s">
        <v>1298</v>
      </c>
      <c r="D51" s="1" t="str">
        <f t="shared" si="0"/>
        <v>Buffalo</v>
      </c>
      <c r="E51" s="1" t="str">
        <f>IFERROR(INDEX(Census_Metro_List!$A:$A,MATCH(D51&amp;"*",Census_Metro_List!$A:$A,0)),"No Match")</f>
        <v>Buffalo-Cheektowaga, NY Metro Area</v>
      </c>
      <c r="F51" s="1" t="str">
        <f t="shared" si="1"/>
        <v>NY</v>
      </c>
      <c r="G51" s="1" t="str">
        <f t="shared" si="2"/>
        <v>Likely Match</v>
      </c>
    </row>
    <row r="52" spans="1:7" hidden="1" x14ac:dyDescent="0.35">
      <c r="A52" s="1" t="s">
        <v>453</v>
      </c>
      <c r="B52" s="1" t="s">
        <v>41</v>
      </c>
      <c r="C52" s="1" t="s">
        <v>1298</v>
      </c>
      <c r="D52" s="1" t="str">
        <f t="shared" si="0"/>
        <v>Birmingham</v>
      </c>
      <c r="E52" s="1" t="str">
        <f>IFERROR(INDEX(Census_Metro_List!$A:$A,MATCH(D52&amp;"*",Census_Metro_List!$A:$A,0)),"No Match")</f>
        <v>Birmingham, AL Metro Area</v>
      </c>
      <c r="F52" s="1" t="str">
        <f t="shared" si="1"/>
        <v>AL</v>
      </c>
      <c r="G52" s="1" t="str">
        <f t="shared" si="2"/>
        <v>Likely Match</v>
      </c>
    </row>
    <row r="53" spans="1:7" x14ac:dyDescent="0.35">
      <c r="A53" s="1" t="s">
        <v>454</v>
      </c>
      <c r="B53" s="1" t="s">
        <v>301</v>
      </c>
      <c r="C53" s="1" t="s">
        <v>1298</v>
      </c>
      <c r="D53" s="1" t="str">
        <f t="shared" si="0"/>
        <v>Rochester</v>
      </c>
      <c r="E53" s="1" t="str">
        <f>IFERROR(INDEX(Census_Metro_List!$A:$A,MATCH(D53&amp;"*",Census_Metro_List!$A:$A,0)),"No Match")</f>
        <v>Rochester, MN Metro Area</v>
      </c>
      <c r="F53" s="1" t="str">
        <f t="shared" si="1"/>
        <v>NY</v>
      </c>
      <c r="G53" s="1" t="str">
        <f t="shared" si="2"/>
        <v>Review</v>
      </c>
    </row>
    <row r="54" spans="1:7" hidden="1" x14ac:dyDescent="0.35">
      <c r="A54" s="1" t="s">
        <v>455</v>
      </c>
      <c r="B54" s="1" t="s">
        <v>139</v>
      </c>
      <c r="C54" s="1" t="s">
        <v>1298</v>
      </c>
      <c r="D54" s="1" t="str">
        <f t="shared" si="0"/>
        <v>Grand Rapids</v>
      </c>
      <c r="E54" s="1" t="str">
        <f>IFERROR(INDEX(Census_Metro_List!$A:$A,MATCH(D54&amp;"*",Census_Metro_List!$A:$A,0)),"No Match")</f>
        <v>Grand Rapids-Wyoming-Kentwood, MI Metro Area</v>
      </c>
      <c r="F54" s="1" t="str">
        <f t="shared" si="1"/>
        <v>MI</v>
      </c>
      <c r="G54" s="1" t="str">
        <f t="shared" si="2"/>
        <v>Likely Match</v>
      </c>
    </row>
    <row r="55" spans="1:7" hidden="1" x14ac:dyDescent="0.35">
      <c r="A55" s="1" t="s">
        <v>456</v>
      </c>
      <c r="B55" s="1" t="s">
        <v>359</v>
      </c>
      <c r="C55" s="1" t="s">
        <v>1298</v>
      </c>
      <c r="D55" s="1" t="str">
        <f t="shared" si="0"/>
        <v>Tucson</v>
      </c>
      <c r="E55" s="1" t="str">
        <f>IFERROR(INDEX(Census_Metro_List!$A:$A,MATCH(D55&amp;"*",Census_Metro_List!$A:$A,0)),"No Match")</f>
        <v>Tucson, AZ Metro Area</v>
      </c>
      <c r="F55" s="1" t="str">
        <f t="shared" si="1"/>
        <v>AZ</v>
      </c>
      <c r="G55" s="1" t="str">
        <f t="shared" si="2"/>
        <v>Likely Match</v>
      </c>
    </row>
    <row r="56" spans="1:7" hidden="1" x14ac:dyDescent="0.35">
      <c r="A56" s="1" t="s">
        <v>457</v>
      </c>
      <c r="B56" s="1" t="s">
        <v>364</v>
      </c>
      <c r="C56" s="1" t="s">
        <v>1298</v>
      </c>
      <c r="D56" s="1" t="str">
        <f t="shared" si="0"/>
        <v>Urban Honolulu</v>
      </c>
      <c r="E56" s="1" t="str">
        <f>IFERROR(INDEX(Census_Metro_List!$A:$A,MATCH(D56&amp;"*",Census_Metro_List!$A:$A,0)),"No Match")</f>
        <v>Urban Honolulu, HI Metro Area</v>
      </c>
      <c r="F56" s="1" t="str">
        <f t="shared" si="1"/>
        <v>HI</v>
      </c>
      <c r="G56" s="1" t="str">
        <f t="shared" si="2"/>
        <v>Likely Match</v>
      </c>
    </row>
    <row r="57" spans="1:7" hidden="1" x14ac:dyDescent="0.35">
      <c r="A57" s="1" t="s">
        <v>458</v>
      </c>
      <c r="B57" s="1" t="s">
        <v>360</v>
      </c>
      <c r="C57" s="1" t="s">
        <v>1298</v>
      </c>
      <c r="D57" s="1" t="str">
        <f t="shared" si="0"/>
        <v>Tulsa</v>
      </c>
      <c r="E57" s="1" t="str">
        <f>IFERROR(INDEX(Census_Metro_List!$A:$A,MATCH(D57&amp;"*",Census_Metro_List!$A:$A,0)),"No Match")</f>
        <v>Tulsa, OK Metro Area</v>
      </c>
      <c r="F57" s="1" t="str">
        <f t="shared" si="1"/>
        <v>OK</v>
      </c>
      <c r="G57" s="1" t="str">
        <f t="shared" si="2"/>
        <v>Likely Match</v>
      </c>
    </row>
    <row r="58" spans="1:7" hidden="1" x14ac:dyDescent="0.35">
      <c r="A58" s="1" t="s">
        <v>459</v>
      </c>
      <c r="B58" s="1" t="s">
        <v>129</v>
      </c>
      <c r="C58" s="1" t="s">
        <v>1298</v>
      </c>
      <c r="D58" s="1" t="str">
        <f t="shared" si="0"/>
        <v>Fresno</v>
      </c>
      <c r="E58" s="1" t="str">
        <f>IFERROR(INDEX(Census_Metro_List!$A:$A,MATCH(D58&amp;"*",Census_Metro_List!$A:$A,0)),"No Match")</f>
        <v>Fresno, CA Metro Area</v>
      </c>
      <c r="F58" s="1" t="str">
        <f t="shared" si="1"/>
        <v>CA</v>
      </c>
      <c r="G58" s="1" t="str">
        <f t="shared" si="2"/>
        <v>Likely Match</v>
      </c>
    </row>
    <row r="59" spans="1:7" hidden="1" x14ac:dyDescent="0.35">
      <c r="A59" s="1" t="s">
        <v>460</v>
      </c>
      <c r="B59" s="1" t="s">
        <v>390</v>
      </c>
      <c r="C59" s="1" t="s">
        <v>1298</v>
      </c>
      <c r="D59" s="1" t="str">
        <f t="shared" si="0"/>
        <v>Worcester</v>
      </c>
      <c r="E59" s="1" t="str">
        <f>IFERROR(INDEX(Census_Metro_List!$A:$A,MATCH(D59&amp;"*",Census_Metro_List!$A:$A,0)),"No Match")</f>
        <v>Worcester, MA Metro Area</v>
      </c>
      <c r="F59" s="1" t="str">
        <f t="shared" si="1"/>
        <v>MA</v>
      </c>
      <c r="G59" s="1" t="str">
        <f t="shared" si="2"/>
        <v>Likely Match</v>
      </c>
    </row>
    <row r="60" spans="1:7" hidden="1" x14ac:dyDescent="0.35">
      <c r="A60" s="1" t="s">
        <v>461</v>
      </c>
      <c r="B60" s="1" t="s">
        <v>265</v>
      </c>
      <c r="C60" s="1" t="s">
        <v>1298</v>
      </c>
      <c r="D60" s="1" t="str">
        <f t="shared" si="0"/>
        <v>Omaha</v>
      </c>
      <c r="E60" s="1" t="str">
        <f>IFERROR(INDEX(Census_Metro_List!$A:$A,MATCH(D60&amp;"*",Census_Metro_List!$A:$A,0)),"No Match")</f>
        <v>Omaha, NE-IA Metro Area</v>
      </c>
      <c r="F60" s="1" t="str">
        <f t="shared" si="1"/>
        <v>NE</v>
      </c>
      <c r="G60" s="1" t="str">
        <f t="shared" si="2"/>
        <v>Likely Match</v>
      </c>
    </row>
    <row r="61" spans="1:7" hidden="1" x14ac:dyDescent="0.35">
      <c r="A61" s="1" t="s">
        <v>462</v>
      </c>
      <c r="B61" s="1" t="s">
        <v>52</v>
      </c>
      <c r="C61" s="1" t="s">
        <v>1298</v>
      </c>
      <c r="D61" s="1" t="str">
        <f t="shared" si="0"/>
        <v>Bridgeport</v>
      </c>
      <c r="E61" s="1" t="str">
        <f>IFERROR(INDEX(Census_Metro_List!$A:$A,MATCH(D61&amp;"*",Census_Metro_List!$A:$A,0)),"No Match")</f>
        <v>Bridgeport-Stamford-Danbury, CT Metro Area</v>
      </c>
      <c r="F61" s="1" t="str">
        <f t="shared" si="1"/>
        <v>CT</v>
      </c>
      <c r="G61" s="1" t="str">
        <f t="shared" si="2"/>
        <v>Likely Match</v>
      </c>
    </row>
    <row r="62" spans="1:7" x14ac:dyDescent="0.35">
      <c r="A62" s="1" t="s">
        <v>463</v>
      </c>
      <c r="B62" s="1" t="s">
        <v>146</v>
      </c>
      <c r="C62" s="1" t="s">
        <v>1298</v>
      </c>
      <c r="D62" s="1" t="str">
        <f t="shared" si="0"/>
        <v>Greenville</v>
      </c>
      <c r="E62" s="1" t="str">
        <f>IFERROR(INDEX(Census_Metro_List!$A:$A,MATCH(D62&amp;"*",Census_Metro_List!$A:$A,0)),"No Match")</f>
        <v>Greenville, NC Metro Area</v>
      </c>
      <c r="F62" s="1" t="str">
        <f t="shared" si="1"/>
        <v>SC</v>
      </c>
      <c r="G62" s="1" t="str">
        <f t="shared" si="2"/>
        <v>Review</v>
      </c>
    </row>
    <row r="63" spans="1:7" hidden="1" x14ac:dyDescent="0.35">
      <c r="A63" s="1" t="s">
        <v>464</v>
      </c>
      <c r="B63" s="1" t="s">
        <v>9</v>
      </c>
      <c r="C63" s="1" t="s">
        <v>1298</v>
      </c>
      <c r="D63" s="1" t="str">
        <f t="shared" si="0"/>
        <v>Albuquerque</v>
      </c>
      <c r="E63" s="1" t="str">
        <f>IFERROR(INDEX(Census_Metro_List!$A:$A,MATCH(D63&amp;"*",Census_Metro_List!$A:$A,0)),"No Match")</f>
        <v>Albuquerque, NM Metro Area</v>
      </c>
      <c r="F63" s="1" t="str">
        <f t="shared" si="1"/>
        <v>NM</v>
      </c>
      <c r="G63" s="1" t="str">
        <f t="shared" si="2"/>
        <v>Likely Match</v>
      </c>
    </row>
    <row r="64" spans="1:7" hidden="1" x14ac:dyDescent="0.35">
      <c r="A64" s="1" t="s">
        <v>465</v>
      </c>
      <c r="B64" s="1" t="s">
        <v>28</v>
      </c>
      <c r="C64" s="1" t="s">
        <v>1298</v>
      </c>
      <c r="D64" s="1" t="str">
        <f t="shared" si="0"/>
        <v>Bakersfield</v>
      </c>
      <c r="E64" s="1" t="str">
        <f>IFERROR(INDEX(Census_Metro_List!$A:$A,MATCH(D64&amp;"*",Census_Metro_List!$A:$A,0)),"No Match")</f>
        <v>Bakersfield-Delano, CA Metro Area</v>
      </c>
      <c r="F64" s="1" t="str">
        <f t="shared" si="1"/>
        <v>CA</v>
      </c>
      <c r="G64" s="1" t="str">
        <f t="shared" si="2"/>
        <v>Likely Match</v>
      </c>
    </row>
    <row r="65" spans="1:7" hidden="1" x14ac:dyDescent="0.35">
      <c r="A65" s="1" t="s">
        <v>466</v>
      </c>
      <c r="B65" s="1" t="s">
        <v>8</v>
      </c>
      <c r="C65" s="1" t="s">
        <v>1298</v>
      </c>
      <c r="D65" s="1" t="str">
        <f t="shared" si="0"/>
        <v>Albany</v>
      </c>
      <c r="E65" s="1" t="str">
        <f>IFERROR(INDEX(Census_Metro_List!$A:$A,MATCH(D65&amp;"*",Census_Metro_List!$A:$A,0)),"No Match")</f>
        <v>Albany, GA Metro Area</v>
      </c>
      <c r="F65" s="1" t="str">
        <f t="shared" si="1"/>
        <v>NY</v>
      </c>
      <c r="G65" s="1" t="str">
        <f t="shared" si="2"/>
        <v>Likely Match</v>
      </c>
    </row>
    <row r="66" spans="1:7" hidden="1" x14ac:dyDescent="0.35">
      <c r="A66" s="1" t="s">
        <v>467</v>
      </c>
      <c r="B66" s="1" t="s">
        <v>191</v>
      </c>
      <c r="C66" s="1" t="s">
        <v>1298</v>
      </c>
      <c r="D66" s="1" t="str">
        <f t="shared" ref="D66:D129" si="3">LEFT(A66,FIND(",",A66)-1)</f>
        <v>Knoxville</v>
      </c>
      <c r="E66" s="1" t="str">
        <f>IFERROR(INDEX(Census_Metro_List!$A:$A,MATCH(D66&amp;"*",Census_Metro_List!$A:$A,0)),"No Match")</f>
        <v>Knoxville, TN Metro Area</v>
      </c>
      <c r="F66" s="1" t="str">
        <f t="shared" ref="F66:F129" si="4">TRIM(RIGHT(A66,LEN(A66)-FIND(",",A66)))</f>
        <v>TN</v>
      </c>
      <c r="G66" s="1" t="str">
        <f t="shared" ref="G66:G129" si="5">IF(E66="No Match","Review",IF(ISNUMBER(SEARCH(F66,E66)),"Likely Match","Review"))</f>
        <v>Likely Match</v>
      </c>
    </row>
    <row r="67" spans="1:7" hidden="1" x14ac:dyDescent="0.35">
      <c r="A67" s="1" t="s">
        <v>468</v>
      </c>
      <c r="B67" s="1" t="s">
        <v>32</v>
      </c>
      <c r="C67" s="1" t="s">
        <v>1298</v>
      </c>
      <c r="D67" s="1" t="str">
        <f t="shared" si="3"/>
        <v>Baton Rouge</v>
      </c>
      <c r="E67" s="1" t="str">
        <f>IFERROR(INDEX(Census_Metro_List!$A:$A,MATCH(D67&amp;"*",Census_Metro_List!$A:$A,0)),"No Match")</f>
        <v>Baton Rouge, LA Metro Area</v>
      </c>
      <c r="F67" s="1" t="str">
        <f t="shared" si="4"/>
        <v>LA</v>
      </c>
      <c r="G67" s="1" t="str">
        <f t="shared" si="5"/>
        <v>Likely Match</v>
      </c>
    </row>
    <row r="68" spans="1:7" hidden="1" x14ac:dyDescent="0.35">
      <c r="A68" s="1" t="s">
        <v>469</v>
      </c>
      <c r="B68" s="1" t="s">
        <v>228</v>
      </c>
      <c r="C68" s="1" t="s">
        <v>1298</v>
      </c>
      <c r="D68" s="1" t="str">
        <f t="shared" si="3"/>
        <v>McAllen</v>
      </c>
      <c r="E68" s="1" t="str">
        <f>IFERROR(INDEX(Census_Metro_List!$A:$A,MATCH(D68&amp;"*",Census_Metro_List!$A:$A,0)),"No Match")</f>
        <v>McAllen-Edinburg-Mission, TX Metro Area</v>
      </c>
      <c r="F68" s="1" t="str">
        <f t="shared" si="4"/>
        <v>TX</v>
      </c>
      <c r="G68" s="1" t="str">
        <f t="shared" si="5"/>
        <v>Likely Match</v>
      </c>
    </row>
    <row r="69" spans="1:7" hidden="1" x14ac:dyDescent="0.35">
      <c r="A69" s="1" t="s">
        <v>470</v>
      </c>
      <c r="B69" s="1" t="s">
        <v>254</v>
      </c>
      <c r="C69" s="1" t="s">
        <v>1298</v>
      </c>
      <c r="D69" s="1" t="str">
        <f t="shared" si="3"/>
        <v>New Haven</v>
      </c>
      <c r="E69" s="1" t="str">
        <f>IFERROR(INDEX(Census_Metro_List!$A:$A,MATCH(D69&amp;"*",Census_Metro_List!$A:$A,0)),"No Match")</f>
        <v>New Haven, CT Metro Area</v>
      </c>
      <c r="F69" s="1" t="str">
        <f t="shared" si="4"/>
        <v>CT</v>
      </c>
      <c r="G69" s="1" t="str">
        <f t="shared" si="5"/>
        <v>Likely Match</v>
      </c>
    </row>
    <row r="70" spans="1:7" hidden="1" x14ac:dyDescent="0.35">
      <c r="A70" s="1" t="s">
        <v>471</v>
      </c>
      <c r="B70" s="1" t="s">
        <v>111</v>
      </c>
      <c r="C70" s="1" t="s">
        <v>1298</v>
      </c>
      <c r="D70" s="1" t="str">
        <f t="shared" si="3"/>
        <v>El Paso</v>
      </c>
      <c r="E70" s="1" t="str">
        <f>IFERROR(INDEX(Census_Metro_List!$A:$A,MATCH(D70&amp;"*",Census_Metro_List!$A:$A,0)),"No Match")</f>
        <v>El Paso, TX Metro Area</v>
      </c>
      <c r="F70" s="1" t="str">
        <f t="shared" si="4"/>
        <v>TX</v>
      </c>
      <c r="G70" s="1" t="str">
        <f t="shared" si="5"/>
        <v>Likely Match</v>
      </c>
    </row>
    <row r="71" spans="1:7" hidden="1" x14ac:dyDescent="0.35">
      <c r="A71" s="1" t="s">
        <v>472</v>
      </c>
      <c r="B71" s="1" t="s">
        <v>11</v>
      </c>
      <c r="C71" s="1" t="s">
        <v>1298</v>
      </c>
      <c r="D71" s="1" t="str">
        <f t="shared" si="3"/>
        <v>Allentown</v>
      </c>
      <c r="E71" s="1" t="str">
        <f>IFERROR(INDEX(Census_Metro_List!$A:$A,MATCH(D71&amp;"*",Census_Metro_List!$A:$A,0)),"No Match")</f>
        <v>Allentown-Bethlehem-Easton, PA-NJ Metro Area</v>
      </c>
      <c r="F71" s="1" t="str">
        <f t="shared" si="4"/>
        <v>PA</v>
      </c>
      <c r="G71" s="1" t="str">
        <f t="shared" si="5"/>
        <v>Likely Match</v>
      </c>
    </row>
    <row r="72" spans="1:7" hidden="1" x14ac:dyDescent="0.35">
      <c r="A72" s="1" t="s">
        <v>473</v>
      </c>
      <c r="B72" s="1" t="s">
        <v>269</v>
      </c>
      <c r="C72" s="1" t="s">
        <v>1298</v>
      </c>
      <c r="D72" s="1" t="str">
        <f t="shared" si="3"/>
        <v>Oxnard</v>
      </c>
      <c r="E72" s="1" t="str">
        <f>IFERROR(INDEX(Census_Metro_List!$A:$A,MATCH(D72&amp;"*",Census_Metro_List!$A:$A,0)),"No Match")</f>
        <v>Oxnard-Thousand Oaks-Ventura, CA Metro Area</v>
      </c>
      <c r="F72" s="1" t="str">
        <f t="shared" si="4"/>
        <v>CA</v>
      </c>
      <c r="G72" s="1" t="str">
        <f t="shared" si="5"/>
        <v>Likely Match</v>
      </c>
    </row>
    <row r="73" spans="1:7" x14ac:dyDescent="0.35">
      <c r="A73" s="1" t="s">
        <v>474</v>
      </c>
      <c r="B73" s="1" t="s">
        <v>82</v>
      </c>
      <c r="C73" s="1" t="s">
        <v>1298</v>
      </c>
      <c r="D73" s="1" t="str">
        <f t="shared" si="3"/>
        <v>Columbia</v>
      </c>
      <c r="E73" s="1" t="str">
        <f>IFERROR(INDEX(Census_Metro_List!$A:$A,MATCH(D73&amp;"*",Census_Metro_List!$A:$A,0)),"No Match")</f>
        <v>Columbia, MO Metro Area</v>
      </c>
      <c r="F73" s="1" t="str">
        <f t="shared" si="4"/>
        <v>SC</v>
      </c>
      <c r="G73" s="1" t="str">
        <f t="shared" si="5"/>
        <v>Review</v>
      </c>
    </row>
    <row r="74" spans="1:7" hidden="1" x14ac:dyDescent="0.35">
      <c r="A74" s="1" t="s">
        <v>475</v>
      </c>
      <c r="B74" s="1" t="s">
        <v>258</v>
      </c>
      <c r="C74" s="1" t="s">
        <v>1298</v>
      </c>
      <c r="D74" s="1" t="str">
        <f t="shared" si="3"/>
        <v>North Port</v>
      </c>
      <c r="E74" s="1" t="str">
        <f>IFERROR(INDEX(Census_Metro_List!$A:$A,MATCH(D74&amp;"*",Census_Metro_List!$A:$A,0)),"No Match")</f>
        <v>North Port-Bradenton-Sarasota, FL Metro Area</v>
      </c>
      <c r="F74" s="1" t="str">
        <f t="shared" si="4"/>
        <v>FL</v>
      </c>
      <c r="G74" s="1" t="str">
        <f t="shared" si="5"/>
        <v>Likely Match</v>
      </c>
    </row>
    <row r="75" spans="1:7" x14ac:dyDescent="0.35">
      <c r="A75" s="1" t="s">
        <v>476</v>
      </c>
      <c r="B75" s="1" t="s">
        <v>67</v>
      </c>
      <c r="C75" s="1" t="s">
        <v>1298</v>
      </c>
      <c r="D75" s="1" t="str">
        <f t="shared" si="3"/>
        <v>Charleston</v>
      </c>
      <c r="E75" s="1" t="str">
        <f>IFERROR(INDEX(Census_Metro_List!$A:$A,MATCH(D75&amp;"*",Census_Metro_List!$A:$A,0)),"No Match")</f>
        <v>Charleston, WV Metro Area</v>
      </c>
      <c r="F75" s="1" t="str">
        <f t="shared" si="4"/>
        <v>SC</v>
      </c>
      <c r="G75" s="1" t="str">
        <f t="shared" si="5"/>
        <v>Review</v>
      </c>
    </row>
    <row r="76" spans="1:7" hidden="1" x14ac:dyDescent="0.35">
      <c r="A76" s="1" t="s">
        <v>477</v>
      </c>
      <c r="B76" s="1" t="s">
        <v>144</v>
      </c>
      <c r="C76" s="1" t="s">
        <v>1298</v>
      </c>
      <c r="D76" s="1" t="str">
        <f t="shared" si="3"/>
        <v>Greensboro</v>
      </c>
      <c r="E76" s="1" t="str">
        <f>IFERROR(INDEX(Census_Metro_List!$A:$A,MATCH(D76&amp;"*",Census_Metro_List!$A:$A,0)),"No Match")</f>
        <v>Greensboro-High Point, NC Metro Area</v>
      </c>
      <c r="F76" s="1" t="str">
        <f t="shared" si="4"/>
        <v>NC</v>
      </c>
      <c r="G76" s="1" t="str">
        <f t="shared" si="5"/>
        <v>Likely Match</v>
      </c>
    </row>
    <row r="77" spans="1:7" hidden="1" x14ac:dyDescent="0.35">
      <c r="A77" s="1" t="s">
        <v>478</v>
      </c>
      <c r="B77" s="1" t="s">
        <v>348</v>
      </c>
      <c r="C77" s="1" t="s">
        <v>1298</v>
      </c>
      <c r="D77" s="1" t="str">
        <f t="shared" si="3"/>
        <v>Stockton</v>
      </c>
      <c r="E77" s="1" t="str">
        <f>IFERROR(INDEX(Census_Metro_List!$A:$A,MATCH(D77&amp;"*",Census_Metro_List!$A:$A,0)),"No Match")</f>
        <v>Stockton-Lodi, CA Metro Area</v>
      </c>
      <c r="F77" s="1" t="str">
        <f t="shared" si="4"/>
        <v>CA</v>
      </c>
      <c r="G77" s="1" t="str">
        <f t="shared" si="5"/>
        <v>Likely Match</v>
      </c>
    </row>
    <row r="78" spans="1:7" hidden="1" x14ac:dyDescent="0.35">
      <c r="A78" s="1" t="s">
        <v>479</v>
      </c>
      <c r="B78" s="1" t="s">
        <v>59</v>
      </c>
      <c r="C78" s="1" t="s">
        <v>1298</v>
      </c>
      <c r="D78" s="1" t="str">
        <f t="shared" si="3"/>
        <v>Cape Coral</v>
      </c>
      <c r="E78" s="1" t="str">
        <f>IFERROR(INDEX(Census_Metro_List!$A:$A,MATCH(D78&amp;"*",Census_Metro_List!$A:$A,0)),"No Match")</f>
        <v>Cape Coral-Fort Myers, FL Metro Area</v>
      </c>
      <c r="F78" s="1" t="str">
        <f t="shared" si="4"/>
        <v>FL</v>
      </c>
      <c r="G78" s="1" t="str">
        <f t="shared" si="5"/>
        <v>Likely Match</v>
      </c>
    </row>
    <row r="79" spans="1:7" hidden="1" x14ac:dyDescent="0.35">
      <c r="A79" s="1" t="s">
        <v>480</v>
      </c>
      <c r="B79" s="1" t="s">
        <v>46</v>
      </c>
      <c r="C79" s="1" t="s">
        <v>1298</v>
      </c>
      <c r="D79" s="1" t="str">
        <f t="shared" si="3"/>
        <v>Boise City</v>
      </c>
      <c r="E79" s="1" t="str">
        <f>IFERROR(INDEX(Census_Metro_List!$A:$A,MATCH(D79&amp;"*",Census_Metro_List!$A:$A,0)),"No Match")</f>
        <v>Boise City, ID Metro Area</v>
      </c>
      <c r="F79" s="1" t="str">
        <f t="shared" si="4"/>
        <v>ID</v>
      </c>
      <c r="G79" s="1" t="str">
        <f t="shared" si="5"/>
        <v>Likely Match</v>
      </c>
    </row>
    <row r="80" spans="1:7" hidden="1" x14ac:dyDescent="0.35">
      <c r="A80" s="1" t="s">
        <v>481</v>
      </c>
      <c r="B80" s="1" t="s">
        <v>80</v>
      </c>
      <c r="C80" s="1" t="s">
        <v>1298</v>
      </c>
      <c r="D80" s="1" t="str">
        <f t="shared" si="3"/>
        <v>Colorado Springs</v>
      </c>
      <c r="E80" s="1" t="str">
        <f>IFERROR(INDEX(Census_Metro_List!$A:$A,MATCH(D80&amp;"*",Census_Metro_List!$A:$A,0)),"No Match")</f>
        <v>Colorado Springs, CO Metro Area</v>
      </c>
      <c r="F80" s="1" t="str">
        <f t="shared" si="4"/>
        <v>CO</v>
      </c>
      <c r="G80" s="1" t="str">
        <f t="shared" si="5"/>
        <v>Likely Match</v>
      </c>
    </row>
    <row r="81" spans="1:7" hidden="1" x14ac:dyDescent="0.35">
      <c r="A81" s="1" t="s">
        <v>482</v>
      </c>
      <c r="B81" s="1" t="s">
        <v>213</v>
      </c>
      <c r="C81" s="1" t="s">
        <v>1298</v>
      </c>
      <c r="D81" s="1" t="str">
        <f t="shared" si="3"/>
        <v>Little Rock</v>
      </c>
      <c r="E81" s="1" t="str">
        <f>IFERROR(INDEX(Census_Metro_List!$A:$A,MATCH(D81&amp;"*",Census_Metro_List!$A:$A,0)),"No Match")</f>
        <v>Little Rock-North Little Rock-Conway, AR Metro Area</v>
      </c>
      <c r="F81" s="1" t="str">
        <f t="shared" si="4"/>
        <v>AR</v>
      </c>
      <c r="G81" s="1" t="str">
        <f t="shared" si="5"/>
        <v>Likely Match</v>
      </c>
    </row>
    <row r="82" spans="1:7" hidden="1" x14ac:dyDescent="0.35">
      <c r="A82" s="1" t="s">
        <v>483</v>
      </c>
      <c r="B82" s="1" t="s">
        <v>198</v>
      </c>
      <c r="C82" s="1" t="s">
        <v>1298</v>
      </c>
      <c r="D82" s="1" t="str">
        <f t="shared" si="3"/>
        <v>Lakeland</v>
      </c>
      <c r="E82" s="1" t="str">
        <f>IFERROR(INDEX(Census_Metro_List!$A:$A,MATCH(D82&amp;"*",Census_Metro_List!$A:$A,0)),"No Match")</f>
        <v>Lakeland-Winter Haven, FL Metro Area</v>
      </c>
      <c r="F82" s="1" t="str">
        <f t="shared" si="4"/>
        <v>FL</v>
      </c>
      <c r="G82" s="1" t="str">
        <f t="shared" si="5"/>
        <v>Likely Match</v>
      </c>
    </row>
    <row r="83" spans="1:7" hidden="1" x14ac:dyDescent="0.35">
      <c r="A83" s="1" t="s">
        <v>484</v>
      </c>
      <c r="B83" s="1" t="s">
        <v>5</v>
      </c>
      <c r="C83" s="1" t="s">
        <v>1298</v>
      </c>
      <c r="D83" s="1" t="str">
        <f t="shared" si="3"/>
        <v>Akron</v>
      </c>
      <c r="E83" s="1" t="str">
        <f>IFERROR(INDEX(Census_Metro_List!$A:$A,MATCH(D83&amp;"*",Census_Metro_List!$A:$A,0)),"No Match")</f>
        <v>Akron, OH Metro Area</v>
      </c>
      <c r="F83" s="1" t="str">
        <f t="shared" si="4"/>
        <v>OH</v>
      </c>
      <c r="G83" s="1" t="str">
        <f t="shared" si="5"/>
        <v>Likely Match</v>
      </c>
    </row>
    <row r="84" spans="1:7" hidden="1" x14ac:dyDescent="0.35">
      <c r="A84" s="1" t="s">
        <v>485</v>
      </c>
      <c r="B84" s="1" t="s">
        <v>98</v>
      </c>
      <c r="C84" s="1" t="s">
        <v>1298</v>
      </c>
      <c r="D84" s="1" t="str">
        <f t="shared" si="3"/>
        <v>Des Moines</v>
      </c>
      <c r="E84" s="1" t="str">
        <f>IFERROR(INDEX(Census_Metro_List!$A:$A,MATCH(D84&amp;"*",Census_Metro_List!$A:$A,0)),"No Match")</f>
        <v>Des Moines-West Des Moines, IA Metro Area</v>
      </c>
      <c r="F84" s="1" t="str">
        <f t="shared" si="4"/>
        <v>IA</v>
      </c>
      <c r="G84" s="1" t="str">
        <f t="shared" si="5"/>
        <v>Likely Match</v>
      </c>
    </row>
    <row r="85" spans="1:7" x14ac:dyDescent="0.35">
      <c r="A85" s="1" t="s">
        <v>486</v>
      </c>
      <c r="B85" s="1" t="s">
        <v>343</v>
      </c>
      <c r="C85" s="1" t="s">
        <v>1298</v>
      </c>
      <c r="D85" s="1" t="str">
        <f t="shared" si="3"/>
        <v>Springfield</v>
      </c>
      <c r="E85" s="1" t="str">
        <f>IFERROR(INDEX(Census_Metro_List!$A:$A,MATCH(D85&amp;"*",Census_Metro_List!$A:$A,0)),"No Match")</f>
        <v>Springfield, IL Metro Area</v>
      </c>
      <c r="F85" s="1" t="str">
        <f t="shared" si="4"/>
        <v>MA</v>
      </c>
      <c r="G85" s="1" t="str">
        <f t="shared" si="5"/>
        <v>Review</v>
      </c>
    </row>
    <row r="86" spans="1:7" hidden="1" x14ac:dyDescent="0.35">
      <c r="A86" s="1" t="s">
        <v>487</v>
      </c>
      <c r="B86" s="1" t="s">
        <v>262</v>
      </c>
      <c r="C86" s="1" t="s">
        <v>1298</v>
      </c>
      <c r="D86" s="1" t="str">
        <f t="shared" si="3"/>
        <v>Ogden</v>
      </c>
      <c r="E86" s="1" t="str">
        <f>IFERROR(INDEX(Census_Metro_List!$A:$A,MATCH(D86&amp;"*",Census_Metro_List!$A:$A,0)),"No Match")</f>
        <v>Ogden, UT Metro Area</v>
      </c>
      <c r="F86" s="1" t="str">
        <f t="shared" si="4"/>
        <v>UT</v>
      </c>
      <c r="G86" s="1" t="str">
        <f t="shared" si="5"/>
        <v>Likely Match</v>
      </c>
    </row>
    <row r="87" spans="1:7" hidden="1" x14ac:dyDescent="0.35">
      <c r="A87" s="1" t="s">
        <v>488</v>
      </c>
      <c r="B87" s="1" t="s">
        <v>222</v>
      </c>
      <c r="C87" s="1" t="s">
        <v>1298</v>
      </c>
      <c r="D87" s="1" t="str">
        <f t="shared" si="3"/>
        <v>Madison</v>
      </c>
      <c r="E87" s="1" t="str">
        <f>IFERROR(INDEX(Census_Metro_List!$A:$A,MATCH(D87&amp;"*",Census_Metro_List!$A:$A,0)),"No Match")</f>
        <v>Madison, WI Metro Area</v>
      </c>
      <c r="F87" s="1" t="str">
        <f t="shared" si="4"/>
        <v>WI</v>
      </c>
      <c r="G87" s="1" t="str">
        <f t="shared" si="5"/>
        <v>Likely Match</v>
      </c>
    </row>
    <row r="88" spans="1:7" hidden="1" x14ac:dyDescent="0.35">
      <c r="A88" s="1" t="s">
        <v>489</v>
      </c>
      <c r="B88" s="1" t="s">
        <v>389</v>
      </c>
      <c r="C88" s="1" t="s">
        <v>1298</v>
      </c>
      <c r="D88" s="1" t="str">
        <f t="shared" si="3"/>
        <v>Winston</v>
      </c>
      <c r="E88" s="1" t="str">
        <f>IFERROR(INDEX(Census_Metro_List!$A:$A,MATCH(D88&amp;"*",Census_Metro_List!$A:$A,0)),"No Match")</f>
        <v>Winston-Salem, NC Metro Area</v>
      </c>
      <c r="F88" s="1" t="str">
        <f t="shared" si="4"/>
        <v>NC</v>
      </c>
      <c r="G88" s="1" t="str">
        <f t="shared" si="5"/>
        <v>Likely Match</v>
      </c>
    </row>
    <row r="89" spans="1:7" hidden="1" x14ac:dyDescent="0.35">
      <c r="A89" s="1" t="s">
        <v>490</v>
      </c>
      <c r="B89" s="1" t="s">
        <v>96</v>
      </c>
      <c r="C89" s="1" t="s">
        <v>1298</v>
      </c>
      <c r="D89" s="1" t="str">
        <f t="shared" si="3"/>
        <v>Deltona</v>
      </c>
      <c r="E89" s="1" t="str">
        <f>IFERROR(INDEX(Census_Metro_List!$A:$A,MATCH(D89&amp;"*",Census_Metro_List!$A:$A,0)),"No Match")</f>
        <v>Deltona-Daytona Beach-Ormond Beach, FL Metro Area</v>
      </c>
      <c r="F89" s="1" t="str">
        <f t="shared" si="4"/>
        <v>FL</v>
      </c>
      <c r="G89" s="1" t="str">
        <f t="shared" si="5"/>
        <v>Likely Match</v>
      </c>
    </row>
    <row r="90" spans="1:7" hidden="1" x14ac:dyDescent="0.35">
      <c r="A90" s="1" t="s">
        <v>491</v>
      </c>
      <c r="B90" s="1" t="s">
        <v>350</v>
      </c>
      <c r="C90" s="1" t="s">
        <v>1298</v>
      </c>
      <c r="D90" s="1" t="str">
        <f t="shared" si="3"/>
        <v>Syracuse</v>
      </c>
      <c r="E90" s="1" t="str">
        <f>IFERROR(INDEX(Census_Metro_List!$A:$A,MATCH(D90&amp;"*",Census_Metro_List!$A:$A,0)),"No Match")</f>
        <v>Syracuse, NY Metro Area</v>
      </c>
      <c r="F90" s="1" t="str">
        <f t="shared" si="4"/>
        <v>NY</v>
      </c>
      <c r="G90" s="1" t="str">
        <f t="shared" si="5"/>
        <v>Likely Match</v>
      </c>
    </row>
    <row r="91" spans="1:7" hidden="1" x14ac:dyDescent="0.35">
      <c r="A91" s="1" t="s">
        <v>492</v>
      </c>
      <c r="B91" s="1" t="s">
        <v>288</v>
      </c>
      <c r="C91" s="1" t="s">
        <v>1298</v>
      </c>
      <c r="D91" s="1" t="str">
        <f t="shared" si="3"/>
        <v>Provo</v>
      </c>
      <c r="E91" s="1" t="str">
        <f>IFERROR(INDEX(Census_Metro_List!$A:$A,MATCH(D91&amp;"*",Census_Metro_List!$A:$A,0)),"No Match")</f>
        <v>Provo-Orem-Lehi, UT Metro Area</v>
      </c>
      <c r="F91" s="1" t="str">
        <f t="shared" si="4"/>
        <v>UT</v>
      </c>
      <c r="G91" s="1" t="str">
        <f t="shared" si="5"/>
        <v>Likely Match</v>
      </c>
    </row>
    <row r="92" spans="1:7" hidden="1" x14ac:dyDescent="0.35">
      <c r="A92" s="1" t="s">
        <v>493</v>
      </c>
      <c r="B92" s="1" t="s">
        <v>355</v>
      </c>
      <c r="C92" s="1" t="s">
        <v>1298</v>
      </c>
      <c r="D92" s="1" t="str">
        <f t="shared" si="3"/>
        <v>Toledo</v>
      </c>
      <c r="E92" s="1" t="str">
        <f>IFERROR(INDEX(Census_Metro_List!$A:$A,MATCH(D92&amp;"*",Census_Metro_List!$A:$A,0)),"No Match")</f>
        <v>Toledo, OH Metro Area</v>
      </c>
      <c r="F92" s="1" t="str">
        <f t="shared" si="4"/>
        <v>OH</v>
      </c>
      <c r="G92" s="1" t="str">
        <f t="shared" si="5"/>
        <v>Likely Match</v>
      </c>
    </row>
    <row r="93" spans="1:7" hidden="1" x14ac:dyDescent="0.35">
      <c r="A93" s="1" t="s">
        <v>494</v>
      </c>
      <c r="B93" s="1" t="s">
        <v>383</v>
      </c>
      <c r="C93" s="1" t="s">
        <v>1298</v>
      </c>
      <c r="D93" s="1" t="str">
        <f t="shared" si="3"/>
        <v>Wichita</v>
      </c>
      <c r="E93" s="1" t="str">
        <f>IFERROR(INDEX(Census_Metro_List!$A:$A,MATCH(D93&amp;"*",Census_Metro_List!$A:$A,0)),"No Match")</f>
        <v>Wichita, KS Metro Area</v>
      </c>
      <c r="F93" s="1" t="str">
        <f t="shared" si="4"/>
        <v>KS</v>
      </c>
      <c r="G93" s="1" t="str">
        <f t="shared" si="5"/>
        <v>Likely Match</v>
      </c>
    </row>
    <row r="94" spans="1:7" hidden="1" x14ac:dyDescent="0.35">
      <c r="A94" s="1" t="s">
        <v>495</v>
      </c>
      <c r="B94" s="1" t="s">
        <v>104</v>
      </c>
      <c r="C94" s="1" t="s">
        <v>1298</v>
      </c>
      <c r="D94" s="1" t="str">
        <f t="shared" si="3"/>
        <v>Durham</v>
      </c>
      <c r="E94" s="1" t="str">
        <f>IFERROR(INDEX(Census_Metro_List!$A:$A,MATCH(D94&amp;"*",Census_Metro_List!$A:$A,0)),"No Match")</f>
        <v>Durham-Chapel Hill, NC Metro Area</v>
      </c>
      <c r="F94" s="1" t="str">
        <f t="shared" si="4"/>
        <v>NC</v>
      </c>
      <c r="G94" s="1" t="str">
        <f t="shared" si="5"/>
        <v>Likely Match</v>
      </c>
    </row>
    <row r="95" spans="1:7" hidden="1" x14ac:dyDescent="0.35">
      <c r="A95" s="1" t="s">
        <v>496</v>
      </c>
      <c r="B95" s="1" t="s">
        <v>26</v>
      </c>
      <c r="C95" s="1" t="s">
        <v>1298</v>
      </c>
      <c r="D95" s="1" t="str">
        <f t="shared" si="3"/>
        <v>Augusta</v>
      </c>
      <c r="E95" s="1" t="str">
        <f>IFERROR(INDEX(Census_Metro_List!$A:$A,MATCH(D95&amp;"*",Census_Metro_List!$A:$A,0)),"No Match")</f>
        <v>Augusta-Richmond County, GA-SC Metro Area</v>
      </c>
      <c r="F95" s="1" t="str">
        <f t="shared" si="4"/>
        <v>GA</v>
      </c>
      <c r="G95" s="1" t="str">
        <f t="shared" si="5"/>
        <v>Likely Match</v>
      </c>
    </row>
    <row r="96" spans="1:7" hidden="1" x14ac:dyDescent="0.35">
      <c r="A96" s="1" t="s">
        <v>497</v>
      </c>
      <c r="B96" s="1" t="s">
        <v>271</v>
      </c>
      <c r="C96" s="1" t="s">
        <v>1298</v>
      </c>
      <c r="D96" s="1" t="str">
        <f t="shared" si="3"/>
        <v>Palm Bay</v>
      </c>
      <c r="E96" s="1" t="str">
        <f>IFERROR(INDEX(Census_Metro_List!$A:$A,MATCH(D96&amp;"*",Census_Metro_List!$A:$A,0)),"No Match")</f>
        <v>Palm Bay-Melbourne-Titusville, FL Metro Area</v>
      </c>
      <c r="F96" s="1" t="str">
        <f t="shared" si="4"/>
        <v>FL</v>
      </c>
      <c r="G96" s="1" t="str">
        <f t="shared" si="5"/>
        <v>Likely Match</v>
      </c>
    </row>
    <row r="97" spans="1:7" x14ac:dyDescent="0.35">
      <c r="A97" s="1" t="s">
        <v>498</v>
      </c>
      <c r="B97" s="1" t="s">
        <v>171</v>
      </c>
      <c r="C97" s="1" t="s">
        <v>1298</v>
      </c>
      <c r="D97" s="1" t="str">
        <f t="shared" si="3"/>
        <v>Jackson</v>
      </c>
      <c r="E97" s="1" t="str">
        <f>IFERROR(INDEX(Census_Metro_List!$A:$A,MATCH(D97&amp;"*",Census_Metro_List!$A:$A,0)),"No Match")</f>
        <v>Jackson, MI Metro Area</v>
      </c>
      <c r="F97" s="1" t="str">
        <f t="shared" si="4"/>
        <v>MS</v>
      </c>
      <c r="G97" s="1" t="str">
        <f t="shared" si="5"/>
        <v>Review</v>
      </c>
    </row>
    <row r="98" spans="1:7" hidden="1" x14ac:dyDescent="0.35">
      <c r="A98" s="1" t="s">
        <v>499</v>
      </c>
      <c r="B98" s="1" t="s">
        <v>152</v>
      </c>
      <c r="C98" s="1" t="s">
        <v>1298</v>
      </c>
      <c r="D98" s="1" t="str">
        <f t="shared" si="3"/>
        <v>Harrisburg</v>
      </c>
      <c r="E98" s="1" t="str">
        <f>IFERROR(INDEX(Census_Metro_List!$A:$A,MATCH(D98&amp;"*",Census_Metro_List!$A:$A,0)),"No Match")</f>
        <v>Harrisburg-Carlisle, PA Metro Area</v>
      </c>
      <c r="F98" s="1" t="str">
        <f t="shared" si="4"/>
        <v>PA</v>
      </c>
      <c r="G98" s="1" t="str">
        <f t="shared" si="5"/>
        <v>Likely Match</v>
      </c>
    </row>
    <row r="99" spans="1:7" hidden="1" x14ac:dyDescent="0.35">
      <c r="A99" s="1" t="s">
        <v>500</v>
      </c>
      <c r="B99" s="1" t="s">
        <v>341</v>
      </c>
      <c r="C99" s="1" t="s">
        <v>1298</v>
      </c>
      <c r="D99" s="1" t="str">
        <f t="shared" si="3"/>
        <v>Spokane</v>
      </c>
      <c r="E99" s="1" t="str">
        <f>IFERROR(INDEX(Census_Metro_List!$A:$A,MATCH(D99&amp;"*",Census_Metro_List!$A:$A,0)),"No Match")</f>
        <v>Spokane-Spokane Valley, WA Metro Area</v>
      </c>
      <c r="F99" s="1" t="str">
        <f t="shared" si="4"/>
        <v>WA</v>
      </c>
      <c r="G99" s="1" t="str">
        <f t="shared" si="5"/>
        <v>Likely Match</v>
      </c>
    </row>
    <row r="100" spans="1:7" hidden="1" x14ac:dyDescent="0.35">
      <c r="A100" s="1" t="s">
        <v>501</v>
      </c>
      <c r="B100" s="1" t="s">
        <v>328</v>
      </c>
      <c r="C100" s="1" t="s">
        <v>1298</v>
      </c>
      <c r="D100" s="1" t="str">
        <f t="shared" si="3"/>
        <v>Scranton</v>
      </c>
      <c r="E100" s="1" t="str">
        <f>IFERROR(INDEX(Census_Metro_List!$A:$A,MATCH(D100&amp;"*",Census_Metro_List!$A:$A,0)),"No Match")</f>
        <v>Scranton--Wilkes-Barre, PA Metro Area</v>
      </c>
      <c r="F100" s="1" t="str">
        <f t="shared" si="4"/>
        <v>PA</v>
      </c>
      <c r="G100" s="1" t="str">
        <f t="shared" si="5"/>
        <v>Likely Match</v>
      </c>
    </row>
    <row r="101" spans="1:7" hidden="1" x14ac:dyDescent="0.35">
      <c r="A101" s="1" t="s">
        <v>502</v>
      </c>
      <c r="B101" s="1" t="s">
        <v>70</v>
      </c>
      <c r="C101" s="1" t="s">
        <v>1298</v>
      </c>
      <c r="D101" s="1" t="str">
        <f t="shared" si="3"/>
        <v>Chattanooga</v>
      </c>
      <c r="E101" s="1" t="str">
        <f>IFERROR(INDEX(Census_Metro_List!$A:$A,MATCH(D101&amp;"*",Census_Metro_List!$A:$A,0)),"No Match")</f>
        <v>Chattanooga, TN-GA Metro Area</v>
      </c>
      <c r="F101" s="1" t="str">
        <f t="shared" si="4"/>
        <v>TN</v>
      </c>
      <c r="G101" s="1" t="str">
        <f t="shared" si="5"/>
        <v>Likely Match</v>
      </c>
    </row>
    <row r="102" spans="1:7" hidden="1" x14ac:dyDescent="0.35">
      <c r="A102" s="1" t="s">
        <v>503</v>
      </c>
      <c r="B102" s="1" t="s">
        <v>241</v>
      </c>
      <c r="C102" s="1" t="s">
        <v>1298</v>
      </c>
      <c r="D102" s="1" t="str">
        <f t="shared" si="3"/>
        <v>Modesto</v>
      </c>
      <c r="E102" s="1" t="str">
        <f>IFERROR(INDEX(Census_Metro_List!$A:$A,MATCH(D102&amp;"*",Census_Metro_List!$A:$A,0)),"No Match")</f>
        <v>Modesto, CA Metro Area</v>
      </c>
      <c r="F102" s="1" t="str">
        <f t="shared" si="4"/>
        <v>CA</v>
      </c>
      <c r="G102" s="1" t="str">
        <f t="shared" si="5"/>
        <v>Likely Match</v>
      </c>
    </row>
    <row r="103" spans="1:7" hidden="1" x14ac:dyDescent="0.35">
      <c r="A103" s="1" t="s">
        <v>504</v>
      </c>
      <c r="B103" s="1" t="s">
        <v>199</v>
      </c>
      <c r="C103" s="1" t="s">
        <v>1298</v>
      </c>
      <c r="D103" s="1" t="str">
        <f t="shared" si="3"/>
        <v>Lancaster</v>
      </c>
      <c r="E103" s="1" t="str">
        <f>IFERROR(INDEX(Census_Metro_List!$A:$A,MATCH(D103&amp;"*",Census_Metro_List!$A:$A,0)),"No Match")</f>
        <v>Lancaster, PA Metro Area</v>
      </c>
      <c r="F103" s="1" t="str">
        <f t="shared" si="4"/>
        <v>PA</v>
      </c>
      <c r="G103" s="1" t="str">
        <f t="shared" si="5"/>
        <v>Likely Match</v>
      </c>
    </row>
    <row r="104" spans="1:7" hidden="1" x14ac:dyDescent="0.35">
      <c r="A104" s="1" t="s">
        <v>505</v>
      </c>
      <c r="B104" s="1" t="s">
        <v>283</v>
      </c>
      <c r="C104" s="1" t="s">
        <v>1298</v>
      </c>
      <c r="D104" s="1" t="str">
        <f t="shared" si="3"/>
        <v>Portland</v>
      </c>
      <c r="E104" s="1" t="str">
        <f>IFERROR(INDEX(Census_Metro_List!$A:$A,MATCH(D104&amp;"*",Census_Metro_List!$A:$A,0)),"No Match")</f>
        <v>Portland-South Portland, ME Metro Area</v>
      </c>
      <c r="F104" s="1" t="str">
        <f t="shared" si="4"/>
        <v>ME</v>
      </c>
      <c r="G104" s="1" t="str">
        <f t="shared" si="5"/>
        <v>Likely Match</v>
      </c>
    </row>
    <row r="105" spans="1:7" hidden="1" x14ac:dyDescent="0.35">
      <c r="A105" s="1" t="s">
        <v>506</v>
      </c>
      <c r="B105" s="1" t="s">
        <v>393</v>
      </c>
      <c r="C105" s="1" t="s">
        <v>1298</v>
      </c>
      <c r="D105" s="1" t="str">
        <f t="shared" si="3"/>
        <v>Youngstown</v>
      </c>
      <c r="E105" s="1" t="str">
        <f>IFERROR(INDEX(Census_Metro_List!$A:$A,MATCH(D105&amp;"*",Census_Metro_List!$A:$A,0)),"No Match")</f>
        <v>Youngstown-Warren, OH Metro Area</v>
      </c>
      <c r="F105" s="1" t="str">
        <f t="shared" si="4"/>
        <v>OH</v>
      </c>
      <c r="G105" s="1" t="str">
        <f t="shared" si="5"/>
        <v>Likely Match</v>
      </c>
    </row>
    <row r="106" spans="1:7" hidden="1" x14ac:dyDescent="0.35">
      <c r="A106" s="1" t="s">
        <v>507</v>
      </c>
      <c r="B106" s="1" t="s">
        <v>200</v>
      </c>
      <c r="C106" s="1" t="s">
        <v>1298</v>
      </c>
      <c r="D106" s="1" t="str">
        <f t="shared" si="3"/>
        <v>Lansing</v>
      </c>
      <c r="E106" s="1" t="str">
        <f>IFERROR(INDEX(Census_Metro_List!$A:$A,MATCH(D106&amp;"*",Census_Metro_List!$A:$A,0)),"No Match")</f>
        <v>Lansing-East Lansing, MI Metro Area</v>
      </c>
      <c r="F106" s="1" t="str">
        <f t="shared" si="4"/>
        <v>MI</v>
      </c>
      <c r="G106" s="1" t="str">
        <f t="shared" si="5"/>
        <v>Likely Match</v>
      </c>
    </row>
    <row r="107" spans="1:7" hidden="1" x14ac:dyDescent="0.35">
      <c r="A107" s="1" t="s">
        <v>508</v>
      </c>
      <c r="B107" s="1" t="s">
        <v>120</v>
      </c>
      <c r="C107" s="1" t="s">
        <v>1298</v>
      </c>
      <c r="D107" s="1" t="str">
        <f t="shared" si="3"/>
        <v>Fayetteville</v>
      </c>
      <c r="E107" s="1" t="str">
        <f>IFERROR(INDEX(Census_Metro_List!$A:$A,MATCH(D107&amp;"*",Census_Metro_List!$A:$A,0)),"No Match")</f>
        <v>Fayetteville, NC Metro Area</v>
      </c>
      <c r="F107" s="1" t="str">
        <f t="shared" si="4"/>
        <v>AR</v>
      </c>
      <c r="G107" s="1" t="str">
        <f t="shared" si="5"/>
        <v>Likely Match</v>
      </c>
    </row>
    <row r="108" spans="1:7" hidden="1" x14ac:dyDescent="0.35">
      <c r="A108" s="1" t="s">
        <v>509</v>
      </c>
      <c r="B108" s="1" t="s">
        <v>119</v>
      </c>
      <c r="C108" s="1" t="s">
        <v>1298</v>
      </c>
      <c r="D108" s="1" t="str">
        <f t="shared" si="3"/>
        <v>Fayetteville</v>
      </c>
      <c r="E108" s="1" t="str">
        <f>IFERROR(INDEX(Census_Metro_List!$A:$A,MATCH(D108&amp;"*",Census_Metro_List!$A:$A,0)),"No Match")</f>
        <v>Fayetteville, NC Metro Area</v>
      </c>
      <c r="F108" s="1" t="str">
        <f t="shared" si="4"/>
        <v>NC</v>
      </c>
      <c r="G108" s="1" t="str">
        <f t="shared" si="5"/>
        <v>Likely Match</v>
      </c>
    </row>
    <row r="109" spans="1:7" hidden="1" x14ac:dyDescent="0.35">
      <c r="A109" s="1" t="s">
        <v>510</v>
      </c>
      <c r="B109" s="1" t="s">
        <v>209</v>
      </c>
      <c r="C109" s="1" t="s">
        <v>1298</v>
      </c>
      <c r="D109" s="1" t="str">
        <f t="shared" si="3"/>
        <v>Lexington</v>
      </c>
      <c r="E109" s="1" t="str">
        <f>IFERROR(INDEX(Census_Metro_List!$A:$A,MATCH(D109&amp;"*",Census_Metro_List!$A:$A,0)),"No Match")</f>
        <v>Lexington-Fayette, KY Metro Area</v>
      </c>
      <c r="F109" s="1" t="str">
        <f t="shared" si="4"/>
        <v>KY</v>
      </c>
      <c r="G109" s="1" t="str">
        <f t="shared" si="5"/>
        <v>Likely Match</v>
      </c>
    </row>
    <row r="110" spans="1:7" hidden="1" x14ac:dyDescent="0.35">
      <c r="A110" s="1" t="s">
        <v>511</v>
      </c>
      <c r="B110" s="1" t="s">
        <v>274</v>
      </c>
      <c r="C110" s="1" t="s">
        <v>1298</v>
      </c>
      <c r="D110" s="1" t="str">
        <f t="shared" si="3"/>
        <v>Pensacola</v>
      </c>
      <c r="E110" s="1" t="str">
        <f>IFERROR(INDEX(Census_Metro_List!$A:$A,MATCH(D110&amp;"*",Census_Metro_List!$A:$A,0)),"No Match")</f>
        <v>Pensacola-Ferry Pass-Brent, FL Metro Area</v>
      </c>
      <c r="F110" s="1" t="str">
        <f t="shared" si="4"/>
        <v>FL</v>
      </c>
      <c r="G110" s="1" t="str">
        <f t="shared" si="5"/>
        <v>Likely Match</v>
      </c>
    </row>
    <row r="111" spans="1:7" hidden="1" x14ac:dyDescent="0.35">
      <c r="A111" s="1" t="s">
        <v>512</v>
      </c>
      <c r="B111" s="1" t="s">
        <v>326</v>
      </c>
      <c r="C111" s="1" t="s">
        <v>1298</v>
      </c>
      <c r="D111" s="1" t="str">
        <f t="shared" si="3"/>
        <v>Santa Rosa</v>
      </c>
      <c r="E111" s="1" t="str">
        <f>IFERROR(INDEX(Census_Metro_List!$A:$A,MATCH(D111&amp;"*",Census_Metro_List!$A:$A,0)),"No Match")</f>
        <v>Santa Rosa-Petaluma, CA Metro Area</v>
      </c>
      <c r="F111" s="1" t="str">
        <f t="shared" si="4"/>
        <v>CA</v>
      </c>
      <c r="G111" s="1" t="str">
        <f t="shared" si="5"/>
        <v>Likely Match</v>
      </c>
    </row>
    <row r="112" spans="1:7" hidden="1" x14ac:dyDescent="0.35">
      <c r="A112" s="1" t="s">
        <v>513</v>
      </c>
      <c r="B112" s="1" t="s">
        <v>296</v>
      </c>
      <c r="C112" s="1" t="s">
        <v>1298</v>
      </c>
      <c r="D112" s="1" t="str">
        <f t="shared" si="3"/>
        <v>Reno</v>
      </c>
      <c r="E112" s="1" t="str">
        <f>IFERROR(INDEX(Census_Metro_List!$A:$A,MATCH(D112&amp;"*",Census_Metro_List!$A:$A,0)),"No Match")</f>
        <v>Reno, NV Metro Area</v>
      </c>
      <c r="F112" s="1" t="str">
        <f t="shared" si="4"/>
        <v>NV</v>
      </c>
      <c r="G112" s="1" t="str">
        <f t="shared" si="5"/>
        <v>Likely Match</v>
      </c>
    </row>
    <row r="113" spans="1:7" hidden="1" x14ac:dyDescent="0.35">
      <c r="A113" s="1" t="s">
        <v>514</v>
      </c>
      <c r="B113" s="1" t="s">
        <v>165</v>
      </c>
      <c r="C113" s="1" t="s">
        <v>1298</v>
      </c>
      <c r="D113" s="1" t="str">
        <f t="shared" si="3"/>
        <v>Huntsville</v>
      </c>
      <c r="E113" s="1" t="str">
        <f>IFERROR(INDEX(Census_Metro_List!$A:$A,MATCH(D113&amp;"*",Census_Metro_List!$A:$A,0)),"No Match")</f>
        <v>Huntsville, AL Metro Area</v>
      </c>
      <c r="F113" s="1" t="str">
        <f t="shared" si="4"/>
        <v>AL</v>
      </c>
      <c r="G113" s="1" t="str">
        <f t="shared" si="5"/>
        <v>Likely Match</v>
      </c>
    </row>
    <row r="114" spans="1:7" hidden="1" x14ac:dyDescent="0.35">
      <c r="A114" s="1" t="s">
        <v>515</v>
      </c>
      <c r="B114" s="1" t="s">
        <v>285</v>
      </c>
      <c r="C114" s="1" t="s">
        <v>1298</v>
      </c>
      <c r="D114" s="1" t="str">
        <f t="shared" si="3"/>
        <v>Port St. Lucie</v>
      </c>
      <c r="E114" s="1" t="str">
        <f>IFERROR(INDEX(Census_Metro_List!$A:$A,MATCH(D114&amp;"*",Census_Metro_List!$A:$A,0)),"No Match")</f>
        <v>Port St. Lucie, FL Metro Area</v>
      </c>
      <c r="F114" s="1" t="str">
        <f t="shared" si="4"/>
        <v>FL</v>
      </c>
      <c r="G114" s="1" t="str">
        <f t="shared" si="5"/>
        <v>Likely Match</v>
      </c>
    </row>
    <row r="115" spans="1:7" hidden="1" x14ac:dyDescent="0.35">
      <c r="A115" s="1" t="s">
        <v>516</v>
      </c>
      <c r="B115" s="1" t="s">
        <v>194</v>
      </c>
      <c r="C115" s="1" t="s">
        <v>1298</v>
      </c>
      <c r="D115" s="1" t="str">
        <f t="shared" si="3"/>
        <v>Lafayette</v>
      </c>
      <c r="E115" s="1" t="str">
        <f>IFERROR(INDEX(Census_Metro_List!$A:$A,MATCH(D115&amp;"*",Census_Metro_List!$A:$A,0)),"No Match")</f>
        <v>Lafayette, LA Metro Area</v>
      </c>
      <c r="F115" s="1" t="str">
        <f t="shared" si="4"/>
        <v>LA</v>
      </c>
      <c r="G115" s="1" t="str">
        <f t="shared" si="5"/>
        <v>Likely Match</v>
      </c>
    </row>
    <row r="116" spans="1:7" hidden="1" x14ac:dyDescent="0.35">
      <c r="A116" s="1" t="s">
        <v>517</v>
      </c>
      <c r="B116" s="1" t="s">
        <v>250</v>
      </c>
      <c r="C116" s="1" t="s">
        <v>1298</v>
      </c>
      <c r="D116" s="1" t="str">
        <f t="shared" si="3"/>
        <v>Myrtle Beach</v>
      </c>
      <c r="E116" s="1" t="str">
        <f>IFERROR(INDEX(Census_Metro_List!$A:$A,MATCH(D116&amp;"*",Census_Metro_List!$A:$A,0)),"No Match")</f>
        <v>Myrtle Beach-Conway-North Myrtle Beach, SC Metro Area</v>
      </c>
      <c r="F116" s="1" t="str">
        <f t="shared" si="4"/>
        <v>SC</v>
      </c>
      <c r="G116" s="1" t="str">
        <f t="shared" si="5"/>
        <v>Likely Match</v>
      </c>
    </row>
    <row r="117" spans="1:7" x14ac:dyDescent="0.35">
      <c r="A117" s="1" t="s">
        <v>518</v>
      </c>
      <c r="B117" s="1" t="s">
        <v>344</v>
      </c>
      <c r="C117" s="1" t="s">
        <v>1298</v>
      </c>
      <c r="D117" s="1" t="str">
        <f t="shared" si="3"/>
        <v>Springfield</v>
      </c>
      <c r="E117" s="1" t="str">
        <f>IFERROR(INDEX(Census_Metro_List!$A:$A,MATCH(D117&amp;"*",Census_Metro_List!$A:$A,0)),"No Match")</f>
        <v>Springfield, IL Metro Area</v>
      </c>
      <c r="F117" s="1" t="str">
        <f t="shared" si="4"/>
        <v>MO</v>
      </c>
      <c r="G117" s="1" t="str">
        <f t="shared" si="5"/>
        <v>Review</v>
      </c>
    </row>
    <row r="118" spans="1:7" hidden="1" x14ac:dyDescent="0.35">
      <c r="A118" s="1" t="s">
        <v>519</v>
      </c>
      <c r="B118" s="1" t="s">
        <v>371</v>
      </c>
      <c r="C118" s="1" t="s">
        <v>1298</v>
      </c>
      <c r="D118" s="1" t="str">
        <f t="shared" si="3"/>
        <v>Visalia</v>
      </c>
      <c r="E118" s="1" t="str">
        <f>IFERROR(INDEX(Census_Metro_List!$A:$A,MATCH(D118&amp;"*",Census_Metro_List!$A:$A,0)),"No Match")</f>
        <v>Visalia, CA Metro Area</v>
      </c>
      <c r="F118" s="1" t="str">
        <f t="shared" si="4"/>
        <v>CA</v>
      </c>
      <c r="G118" s="1" t="str">
        <f t="shared" si="5"/>
        <v>Likely Match</v>
      </c>
    </row>
    <row r="119" spans="1:7" hidden="1" x14ac:dyDescent="0.35">
      <c r="A119" s="1" t="s">
        <v>520</v>
      </c>
      <c r="B119" s="1" t="s">
        <v>187</v>
      </c>
      <c r="C119" s="1" t="s">
        <v>1298</v>
      </c>
      <c r="D119" s="1" t="str">
        <f t="shared" si="3"/>
        <v>Killeen</v>
      </c>
      <c r="E119" s="1" t="str">
        <f>IFERROR(INDEX(Census_Metro_List!$A:$A,MATCH(D119&amp;"*",Census_Metro_List!$A:$A,0)),"No Match")</f>
        <v>Killeen-Temple, TX Metro Area</v>
      </c>
      <c r="F119" s="1" t="str">
        <f t="shared" si="4"/>
        <v>TX</v>
      </c>
      <c r="G119" s="1" t="str">
        <f t="shared" si="5"/>
        <v>Likely Match</v>
      </c>
    </row>
    <row r="120" spans="1:7" hidden="1" x14ac:dyDescent="0.35">
      <c r="A120" s="1" t="s">
        <v>521</v>
      </c>
      <c r="B120" s="1" t="s">
        <v>21</v>
      </c>
      <c r="C120" s="1" t="s">
        <v>1298</v>
      </c>
      <c r="D120" s="1" t="str">
        <f t="shared" si="3"/>
        <v>Asheville</v>
      </c>
      <c r="E120" s="1" t="str">
        <f>IFERROR(INDEX(Census_Metro_List!$A:$A,MATCH(D120&amp;"*",Census_Metro_List!$A:$A,0)),"No Match")</f>
        <v>Asheville, NC Metro Area</v>
      </c>
      <c r="F120" s="1" t="str">
        <f t="shared" si="4"/>
        <v>NC</v>
      </c>
      <c r="G120" s="1" t="str">
        <f t="shared" si="5"/>
        <v>Likely Match</v>
      </c>
    </row>
    <row r="121" spans="1:7" hidden="1" x14ac:dyDescent="0.35">
      <c r="A121" s="1" t="s">
        <v>522</v>
      </c>
      <c r="B121" s="1" t="s">
        <v>367</v>
      </c>
      <c r="C121" s="1" t="s">
        <v>1298</v>
      </c>
      <c r="D121" s="1" t="str">
        <f t="shared" si="3"/>
        <v>Vallejo</v>
      </c>
      <c r="E121" s="1" t="str">
        <f>IFERROR(INDEX(Census_Metro_List!$A:$A,MATCH(D121&amp;"*",Census_Metro_List!$A:$A,0)),"No Match")</f>
        <v>Vallejo, CA Metro Area</v>
      </c>
      <c r="F121" s="1" t="str">
        <f t="shared" si="4"/>
        <v>CA</v>
      </c>
      <c r="G121" s="1" t="str">
        <f t="shared" si="5"/>
        <v>Likely Match</v>
      </c>
    </row>
    <row r="122" spans="1:7" hidden="1" x14ac:dyDescent="0.35">
      <c r="A122" s="1" t="s">
        <v>523</v>
      </c>
      <c r="B122" s="1" t="s">
        <v>325</v>
      </c>
      <c r="C122" s="1" t="s">
        <v>1298</v>
      </c>
      <c r="D122" s="1" t="str">
        <f t="shared" si="3"/>
        <v>Santa Maria</v>
      </c>
      <c r="E122" s="1" t="str">
        <f>IFERROR(INDEX(Census_Metro_List!$A:$A,MATCH(D122&amp;"*",Census_Metro_List!$A:$A,0)),"No Match")</f>
        <v>Santa Maria-Santa Barbara, CA Metro Area</v>
      </c>
      <c r="F122" s="1" t="str">
        <f t="shared" si="4"/>
        <v>CA</v>
      </c>
      <c r="G122" s="1" t="str">
        <f t="shared" si="5"/>
        <v>Likely Match</v>
      </c>
    </row>
    <row r="123" spans="1:7" hidden="1" x14ac:dyDescent="0.35">
      <c r="A123" s="1" t="s">
        <v>524</v>
      </c>
      <c r="B123" s="1" t="s">
        <v>312</v>
      </c>
      <c r="C123" s="1" t="s">
        <v>1298</v>
      </c>
      <c r="D123" s="1" t="str">
        <f t="shared" si="3"/>
        <v>Salinas</v>
      </c>
      <c r="E123" s="1" t="str">
        <f>IFERROR(INDEX(Census_Metro_List!$A:$A,MATCH(D123&amp;"*",Census_Metro_List!$A:$A,0)),"No Match")</f>
        <v>Salinas, CA Metro Area</v>
      </c>
      <c r="F123" s="1" t="str">
        <f t="shared" si="4"/>
        <v>CA</v>
      </c>
      <c r="G123" s="1" t="str">
        <f t="shared" si="5"/>
        <v>Likely Match</v>
      </c>
    </row>
    <row r="124" spans="1:7" hidden="1" x14ac:dyDescent="0.35">
      <c r="A124" s="1" t="s">
        <v>525</v>
      </c>
      <c r="B124" s="1" t="s">
        <v>311</v>
      </c>
      <c r="C124" s="1" t="s">
        <v>1298</v>
      </c>
      <c r="D124" s="1" t="str">
        <f t="shared" si="3"/>
        <v>Salem</v>
      </c>
      <c r="E124" s="1" t="str">
        <f>IFERROR(INDEX(Census_Metro_List!$A:$A,MATCH(D124&amp;"*",Census_Metro_List!$A:$A,0)),"No Match")</f>
        <v>Salem, OR Metro Area</v>
      </c>
      <c r="F124" s="1" t="str">
        <f t="shared" si="4"/>
        <v>OR</v>
      </c>
      <c r="G124" s="1" t="str">
        <f t="shared" si="5"/>
        <v>Likely Match</v>
      </c>
    </row>
    <row r="125" spans="1:7" hidden="1" x14ac:dyDescent="0.35">
      <c r="A125" s="1" t="s">
        <v>526</v>
      </c>
      <c r="B125" s="1" t="s">
        <v>240</v>
      </c>
      <c r="C125" s="1" t="s">
        <v>1298</v>
      </c>
      <c r="D125" s="1" t="str">
        <f t="shared" si="3"/>
        <v>Mobile</v>
      </c>
      <c r="E125" s="1" t="str">
        <f>IFERROR(INDEX(Census_Metro_List!$A:$A,MATCH(D125&amp;"*",Census_Metro_List!$A:$A,0)),"No Match")</f>
        <v>Mobile, AL Metro Area</v>
      </c>
      <c r="F125" s="1" t="str">
        <f t="shared" si="4"/>
        <v>AL</v>
      </c>
      <c r="G125" s="1" t="str">
        <f t="shared" si="5"/>
        <v>Likely Match</v>
      </c>
    </row>
    <row r="126" spans="1:7" hidden="1" x14ac:dyDescent="0.35">
      <c r="A126" s="1" t="s">
        <v>527</v>
      </c>
      <c r="B126" s="1" t="s">
        <v>294</v>
      </c>
      <c r="C126" s="1" t="s">
        <v>1298</v>
      </c>
      <c r="D126" s="1" t="str">
        <f t="shared" si="3"/>
        <v>Reading</v>
      </c>
      <c r="E126" s="1" t="str">
        <f>IFERROR(INDEX(Census_Metro_List!$A:$A,MATCH(D126&amp;"*",Census_Metro_List!$A:$A,0)),"No Match")</f>
        <v>Reading, PA Metro Area</v>
      </c>
      <c r="F126" s="1" t="str">
        <f t="shared" si="4"/>
        <v>PA</v>
      </c>
      <c r="G126" s="1" t="str">
        <f t="shared" si="5"/>
        <v>Likely Match</v>
      </c>
    </row>
    <row r="127" spans="1:7" hidden="1" x14ac:dyDescent="0.35">
      <c r="A127" s="1" t="s">
        <v>528</v>
      </c>
      <c r="B127" s="1" t="s">
        <v>86</v>
      </c>
      <c r="C127" s="1" t="s">
        <v>1298</v>
      </c>
      <c r="D127" s="1" t="str">
        <f t="shared" si="3"/>
        <v>Corpus Christi</v>
      </c>
      <c r="E127" s="1" t="str">
        <f>IFERROR(INDEX(Census_Metro_List!$A:$A,MATCH(D127&amp;"*",Census_Metro_List!$A:$A,0)),"No Match")</f>
        <v>Corpus Christi, TX Metro Area</v>
      </c>
      <c r="F127" s="1" t="str">
        <f t="shared" si="4"/>
        <v>TX</v>
      </c>
      <c r="G127" s="1" t="str">
        <f t="shared" si="5"/>
        <v>Likely Match</v>
      </c>
    </row>
    <row r="128" spans="1:7" hidden="1" x14ac:dyDescent="0.35">
      <c r="A128" s="1" t="s">
        <v>529</v>
      </c>
      <c r="B128" s="1" t="s">
        <v>53</v>
      </c>
      <c r="C128" s="1" t="s">
        <v>1298</v>
      </c>
      <c r="D128" s="1" t="str">
        <f t="shared" si="3"/>
        <v>Brownsville</v>
      </c>
      <c r="E128" s="1" t="str">
        <f>IFERROR(INDEX(Census_Metro_List!$A:$A,MATCH(D128&amp;"*",Census_Metro_List!$A:$A,0)),"No Match")</f>
        <v>Brownsville-Harlingen, TX Metro Area</v>
      </c>
      <c r="F128" s="1" t="str">
        <f t="shared" si="4"/>
        <v>TX</v>
      </c>
      <c r="G128" s="1" t="str">
        <f t="shared" si="5"/>
        <v>Likely Match</v>
      </c>
    </row>
    <row r="129" spans="1:7" hidden="1" x14ac:dyDescent="0.35">
      <c r="A129" s="1" t="s">
        <v>530</v>
      </c>
      <c r="B129" s="1" t="s">
        <v>223</v>
      </c>
      <c r="C129" s="1" t="s">
        <v>1298</v>
      </c>
      <c r="D129" s="1" t="str">
        <f t="shared" si="3"/>
        <v>Manchester</v>
      </c>
      <c r="E129" s="1" t="str">
        <f>IFERROR(INDEX(Census_Metro_List!$A:$A,MATCH(D129&amp;"*",Census_Metro_List!$A:$A,0)),"No Match")</f>
        <v>Manchester-Nashua, NH Metro Area</v>
      </c>
      <c r="F129" s="1" t="str">
        <f t="shared" si="4"/>
        <v>NH</v>
      </c>
      <c r="G129" s="1" t="str">
        <f t="shared" si="5"/>
        <v>Likely Match</v>
      </c>
    </row>
    <row r="130" spans="1:7" hidden="1" x14ac:dyDescent="0.35">
      <c r="A130" s="1" t="s">
        <v>531</v>
      </c>
      <c r="B130" s="1" t="s">
        <v>128</v>
      </c>
      <c r="C130" s="1" t="s">
        <v>1298</v>
      </c>
      <c r="D130" s="1" t="str">
        <f t="shared" ref="D130:D193" si="6">LEFT(A130,FIND(",",A130)-1)</f>
        <v>Fort Wayne</v>
      </c>
      <c r="E130" s="1" t="str">
        <f>IFERROR(INDEX(Census_Metro_List!$A:$A,MATCH(D130&amp;"*",Census_Metro_List!$A:$A,0)),"No Match")</f>
        <v>Fort Wayne, IN Metro Area</v>
      </c>
      <c r="F130" s="1" t="str">
        <f t="shared" ref="F130:F193" si="7">TRIM(RIGHT(A130,LEN(A130)-FIND(",",A130)))</f>
        <v>IN</v>
      </c>
      <c r="G130" s="1" t="str">
        <f t="shared" ref="G130:G193" si="8">IF(E130="No Match","Review",IF(ISNUMBER(SEARCH(F130,E130)),"Likely Match","Review"))</f>
        <v>Likely Match</v>
      </c>
    </row>
    <row r="131" spans="1:7" hidden="1" x14ac:dyDescent="0.35">
      <c r="A131" s="1" t="s">
        <v>532</v>
      </c>
      <c r="B131" s="1" t="s">
        <v>148</v>
      </c>
      <c r="C131" s="1" t="s">
        <v>1298</v>
      </c>
      <c r="D131" s="1" t="str">
        <f t="shared" si="6"/>
        <v>Gulfport</v>
      </c>
      <c r="E131" s="1" t="str">
        <f>IFERROR(INDEX(Census_Metro_List!$A:$A,MATCH(D131&amp;"*",Census_Metro_List!$A:$A,0)),"No Match")</f>
        <v>Gulfport-Biloxi, MS Metro Area</v>
      </c>
      <c r="F131" s="1" t="str">
        <f t="shared" si="7"/>
        <v>MS</v>
      </c>
      <c r="G131" s="1" t="str">
        <f t="shared" si="8"/>
        <v>Likely Match</v>
      </c>
    </row>
    <row r="132" spans="1:7" hidden="1" x14ac:dyDescent="0.35">
      <c r="A132" s="1" t="s">
        <v>533</v>
      </c>
      <c r="B132" s="1" t="s">
        <v>313</v>
      </c>
      <c r="C132" s="1" t="s">
        <v>1298</v>
      </c>
      <c r="D132" s="1" t="str">
        <f t="shared" si="6"/>
        <v>Salisbury</v>
      </c>
      <c r="E132" s="1" t="str">
        <f>IFERROR(INDEX(Census_Metro_List!$A:$A,MATCH(D132&amp;"*",Census_Metro_List!$A:$A,0)),"No Match")</f>
        <v>Salisbury, MD Metro Area</v>
      </c>
      <c r="F132" s="1" t="str">
        <f t="shared" si="7"/>
        <v>MD</v>
      </c>
      <c r="G132" s="1" t="str">
        <f t="shared" si="8"/>
        <v>Likely Match</v>
      </c>
    </row>
    <row r="133" spans="1:7" hidden="1" x14ac:dyDescent="0.35">
      <c r="A133" s="1" t="s">
        <v>534</v>
      </c>
      <c r="B133" s="1" t="s">
        <v>122</v>
      </c>
      <c r="C133" s="1" t="s">
        <v>1298</v>
      </c>
      <c r="D133" s="1" t="str">
        <f t="shared" si="6"/>
        <v>Flint</v>
      </c>
      <c r="E133" s="1" t="str">
        <f>IFERROR(INDEX(Census_Metro_List!$A:$A,MATCH(D133&amp;"*",Census_Metro_List!$A:$A,0)),"No Match")</f>
        <v>Flint, MI Metro Area</v>
      </c>
      <c r="F133" s="1" t="str">
        <f t="shared" si="7"/>
        <v>MI</v>
      </c>
      <c r="G133" s="1" t="str">
        <f t="shared" si="8"/>
        <v>Likely Match</v>
      </c>
    </row>
    <row r="134" spans="1:7" hidden="1" x14ac:dyDescent="0.35">
      <c r="A134" s="1" t="s">
        <v>535</v>
      </c>
      <c r="B134" s="1" t="s">
        <v>275</v>
      </c>
      <c r="C134" s="1" t="s">
        <v>1298</v>
      </c>
      <c r="D134" s="1" t="str">
        <f t="shared" si="6"/>
        <v>Peoria</v>
      </c>
      <c r="E134" s="1" t="str">
        <f>IFERROR(INDEX(Census_Metro_List!$A:$A,MATCH(D134&amp;"*",Census_Metro_List!$A:$A,0)),"No Match")</f>
        <v>Peoria, IL Metro Area</v>
      </c>
      <c r="F134" s="1" t="str">
        <f t="shared" si="7"/>
        <v>IL</v>
      </c>
      <c r="G134" s="1" t="str">
        <f t="shared" si="8"/>
        <v>Likely Match</v>
      </c>
    </row>
    <row r="135" spans="1:7" hidden="1" x14ac:dyDescent="0.35">
      <c r="A135" s="1" t="s">
        <v>536</v>
      </c>
      <c r="B135" s="1" t="s">
        <v>58</v>
      </c>
      <c r="C135" s="1" t="s">
        <v>1298</v>
      </c>
      <c r="D135" s="1" t="str">
        <f t="shared" si="6"/>
        <v>Canton</v>
      </c>
      <c r="E135" s="1" t="str">
        <f>IFERROR(INDEX(Census_Metro_List!$A:$A,MATCH(D135&amp;"*",Census_Metro_List!$A:$A,0)),"No Match")</f>
        <v>Canton-Massillon, OH Metro Area</v>
      </c>
      <c r="F135" s="1" t="str">
        <f t="shared" si="7"/>
        <v>OH</v>
      </c>
      <c r="G135" s="1" t="str">
        <f t="shared" si="8"/>
        <v>Likely Match</v>
      </c>
    </row>
    <row r="136" spans="1:7" hidden="1" x14ac:dyDescent="0.35">
      <c r="A136" s="1" t="s">
        <v>537</v>
      </c>
      <c r="B136" s="1" t="s">
        <v>327</v>
      </c>
      <c r="C136" s="1" t="s">
        <v>1298</v>
      </c>
      <c r="D136" s="1" t="str">
        <f t="shared" si="6"/>
        <v>Savannah</v>
      </c>
      <c r="E136" s="1" t="str">
        <f>IFERROR(INDEX(Census_Metro_List!$A:$A,MATCH(D136&amp;"*",Census_Metro_List!$A:$A,0)),"No Match")</f>
        <v>Savannah, GA Metro Area</v>
      </c>
      <c r="F136" s="1" t="str">
        <f t="shared" si="7"/>
        <v>GA</v>
      </c>
      <c r="G136" s="1" t="str">
        <f t="shared" si="8"/>
        <v>Likely Match</v>
      </c>
    </row>
    <row r="137" spans="1:7" hidden="1" x14ac:dyDescent="0.35">
      <c r="A137" s="1" t="s">
        <v>538</v>
      </c>
      <c r="B137" s="1" t="s">
        <v>16</v>
      </c>
      <c r="C137" s="1" t="s">
        <v>1298</v>
      </c>
      <c r="D137" s="1" t="str">
        <f t="shared" si="6"/>
        <v>Anchorage</v>
      </c>
      <c r="E137" s="1" t="str">
        <f>IFERROR(INDEX(Census_Metro_List!$A:$A,MATCH(D137&amp;"*",Census_Metro_List!$A:$A,0)),"No Match")</f>
        <v>Anchorage, AK Metro Area</v>
      </c>
      <c r="F137" s="1" t="str">
        <f t="shared" si="7"/>
        <v>AK</v>
      </c>
      <c r="G137" s="1" t="str">
        <f t="shared" si="8"/>
        <v>Likely Match</v>
      </c>
    </row>
    <row r="138" spans="1:7" hidden="1" x14ac:dyDescent="0.35">
      <c r="A138" s="1" t="s">
        <v>539</v>
      </c>
      <c r="B138" s="1" t="s">
        <v>35</v>
      </c>
      <c r="C138" s="1" t="s">
        <v>1298</v>
      </c>
      <c r="D138" s="1" t="str">
        <f t="shared" si="6"/>
        <v>Beaumont</v>
      </c>
      <c r="E138" s="1" t="str">
        <f>IFERROR(INDEX(Census_Metro_List!$A:$A,MATCH(D138&amp;"*",Census_Metro_List!$A:$A,0)),"No Match")</f>
        <v>Beaumont-Port Arthur, TX Metro Area</v>
      </c>
      <c r="F138" s="1" t="str">
        <f t="shared" si="7"/>
        <v>TX</v>
      </c>
      <c r="G138" s="1" t="str">
        <f t="shared" si="8"/>
        <v>Likely Match</v>
      </c>
    </row>
    <row r="139" spans="1:7" hidden="1" x14ac:dyDescent="0.35">
      <c r="A139" s="1" t="s">
        <v>540</v>
      </c>
      <c r="B139" s="1" t="s">
        <v>334</v>
      </c>
      <c r="C139" s="1" t="s">
        <v>1298</v>
      </c>
      <c r="D139" s="1" t="str">
        <f t="shared" si="6"/>
        <v>Shreveport</v>
      </c>
      <c r="E139" s="1" t="str">
        <f>IFERROR(INDEX(Census_Metro_List!$A:$A,MATCH(D139&amp;"*",Census_Metro_List!$A:$A,0)),"No Match")</f>
        <v>Shreveport-Bossier City, LA Metro Area</v>
      </c>
      <c r="F139" s="1" t="str">
        <f t="shared" si="7"/>
        <v>LA</v>
      </c>
      <c r="G139" s="1" t="str">
        <f t="shared" si="8"/>
        <v>Likely Match</v>
      </c>
    </row>
    <row r="140" spans="1:7" hidden="1" x14ac:dyDescent="0.35">
      <c r="A140" s="1" t="s">
        <v>541</v>
      </c>
      <c r="B140" s="1" t="s">
        <v>358</v>
      </c>
      <c r="C140" s="1" t="s">
        <v>1298</v>
      </c>
      <c r="D140" s="1" t="str">
        <f t="shared" si="6"/>
        <v>Trenton</v>
      </c>
      <c r="E140" s="1" t="str">
        <f>IFERROR(INDEX(Census_Metro_List!$A:$A,MATCH(D140&amp;"*",Census_Metro_List!$A:$A,0)),"No Match")</f>
        <v>Trenton-Princeton, NJ Metro Area</v>
      </c>
      <c r="F140" s="1" t="str">
        <f t="shared" si="7"/>
        <v>NJ</v>
      </c>
      <c r="G140" s="1" t="str">
        <f t="shared" si="8"/>
        <v>Likely Match</v>
      </c>
    </row>
    <row r="141" spans="1:7" hidden="1" x14ac:dyDescent="0.35">
      <c r="A141" s="1" t="s">
        <v>542</v>
      </c>
      <c r="B141" s="1" t="s">
        <v>244</v>
      </c>
      <c r="C141" s="1" t="s">
        <v>1298</v>
      </c>
      <c r="D141" s="1" t="str">
        <f t="shared" si="6"/>
        <v>Montgomery</v>
      </c>
      <c r="E141" s="1" t="str">
        <f>IFERROR(INDEX(Census_Metro_List!$A:$A,MATCH(D141&amp;"*",Census_Metro_List!$A:$A,0)),"No Match")</f>
        <v>Montgomery, AL Metro Area</v>
      </c>
      <c r="F141" s="1" t="str">
        <f t="shared" si="7"/>
        <v>AL</v>
      </c>
      <c r="G141" s="1" t="str">
        <f t="shared" si="8"/>
        <v>Likely Match</v>
      </c>
    </row>
    <row r="142" spans="1:7" hidden="1" x14ac:dyDescent="0.35">
      <c r="A142" s="1" t="s">
        <v>543</v>
      </c>
      <c r="B142" s="1" t="s">
        <v>92</v>
      </c>
      <c r="C142" s="1" t="s">
        <v>1298</v>
      </c>
      <c r="D142" s="1" t="str">
        <f t="shared" si="6"/>
        <v>Davenport</v>
      </c>
      <c r="E142" s="1" t="str">
        <f>IFERROR(INDEX(Census_Metro_List!$A:$A,MATCH(D142&amp;"*",Census_Metro_List!$A:$A,0)),"No Match")</f>
        <v>Davenport-Moline-Rock Island, IA-IL Metro Area</v>
      </c>
      <c r="F142" s="1" t="str">
        <f t="shared" si="7"/>
        <v>IA</v>
      </c>
      <c r="G142" s="1" t="str">
        <f t="shared" si="8"/>
        <v>Likely Match</v>
      </c>
    </row>
    <row r="143" spans="1:7" hidden="1" x14ac:dyDescent="0.35">
      <c r="A143" s="1" t="s">
        <v>544</v>
      </c>
      <c r="B143" s="1" t="s">
        <v>351</v>
      </c>
      <c r="C143" s="1" t="s">
        <v>1298</v>
      </c>
      <c r="D143" s="1" t="str">
        <f t="shared" si="6"/>
        <v>Tallahassee</v>
      </c>
      <c r="E143" s="1" t="str">
        <f>IFERROR(INDEX(Census_Metro_List!$A:$A,MATCH(D143&amp;"*",Census_Metro_List!$A:$A,0)),"No Match")</f>
        <v>Tallahassee, FL Metro Area</v>
      </c>
      <c r="F143" s="1" t="str">
        <f t="shared" si="7"/>
        <v>FL</v>
      </c>
      <c r="G143" s="1" t="str">
        <f t="shared" si="8"/>
        <v>Likely Match</v>
      </c>
    </row>
    <row r="144" spans="1:7" hidden="1" x14ac:dyDescent="0.35">
      <c r="A144" s="1" t="s">
        <v>545</v>
      </c>
      <c r="B144" s="1" t="s">
        <v>114</v>
      </c>
      <c r="C144" s="1" t="s">
        <v>1298</v>
      </c>
      <c r="D144" s="1" t="str">
        <f t="shared" si="6"/>
        <v>Eugene</v>
      </c>
      <c r="E144" s="1" t="str">
        <f>IFERROR(INDEX(Census_Metro_List!$A:$A,MATCH(D144&amp;"*",Census_Metro_List!$A:$A,0)),"No Match")</f>
        <v>Eugene-Springfield, OR Metro Area</v>
      </c>
      <c r="F144" s="1" t="str">
        <f t="shared" si="7"/>
        <v>OR</v>
      </c>
      <c r="G144" s="1" t="str">
        <f t="shared" si="8"/>
        <v>Likely Match</v>
      </c>
    </row>
    <row r="145" spans="1:7" hidden="1" x14ac:dyDescent="0.35">
      <c r="A145" s="1" t="s">
        <v>546</v>
      </c>
      <c r="B145" s="1" t="s">
        <v>252</v>
      </c>
      <c r="C145" s="1" t="s">
        <v>1298</v>
      </c>
      <c r="D145" s="1" t="str">
        <f t="shared" si="6"/>
        <v>Naples</v>
      </c>
      <c r="E145" s="1" t="str">
        <f>IFERROR(INDEX(Census_Metro_List!$A:$A,MATCH(D145&amp;"*",Census_Metro_List!$A:$A,0)),"No Match")</f>
        <v>Naples-Marco Island, FL Metro Area</v>
      </c>
      <c r="F145" s="1" t="str">
        <f t="shared" si="7"/>
        <v>FL</v>
      </c>
      <c r="G145" s="1" t="str">
        <f t="shared" si="8"/>
        <v>Likely Match</v>
      </c>
    </row>
    <row r="146" spans="1:7" hidden="1" x14ac:dyDescent="0.35">
      <c r="A146" s="1" t="s">
        <v>547</v>
      </c>
      <c r="B146" s="1" t="s">
        <v>17</v>
      </c>
      <c r="C146" s="1" t="s">
        <v>1298</v>
      </c>
      <c r="D146" s="1" t="str">
        <f t="shared" si="6"/>
        <v>Ann Arbor</v>
      </c>
      <c r="E146" s="1" t="str">
        <f>IFERROR(INDEX(Census_Metro_List!$A:$A,MATCH(D146&amp;"*",Census_Metro_List!$A:$A,0)),"No Match")</f>
        <v>Ann Arbor, MI Metro Area</v>
      </c>
      <c r="F146" s="1" t="str">
        <f t="shared" si="7"/>
        <v>MI</v>
      </c>
      <c r="G146" s="1" t="str">
        <f t="shared" si="8"/>
        <v>Likely Match</v>
      </c>
    </row>
    <row r="147" spans="1:7" hidden="1" x14ac:dyDescent="0.35">
      <c r="A147" s="1" t="s">
        <v>548</v>
      </c>
      <c r="B147" s="1" t="s">
        <v>260</v>
      </c>
      <c r="C147" s="1" t="s">
        <v>1298</v>
      </c>
      <c r="D147" s="1" t="str">
        <f t="shared" si="6"/>
        <v>Ocala</v>
      </c>
      <c r="E147" s="1" t="str">
        <f>IFERROR(INDEX(Census_Metro_List!$A:$A,MATCH(D147&amp;"*",Census_Metro_List!$A:$A,0)),"No Match")</f>
        <v>Ocala, FL Metro Area</v>
      </c>
      <c r="F147" s="1" t="str">
        <f t="shared" si="7"/>
        <v>FL</v>
      </c>
      <c r="G147" s="1" t="str">
        <f t="shared" si="8"/>
        <v>Likely Match</v>
      </c>
    </row>
    <row r="148" spans="1:7" hidden="1" x14ac:dyDescent="0.35">
      <c r="A148" s="1" t="s">
        <v>549</v>
      </c>
      <c r="B148" s="1" t="s">
        <v>157</v>
      </c>
      <c r="C148" s="1" t="s">
        <v>1298</v>
      </c>
      <c r="D148" s="1" t="str">
        <f t="shared" si="6"/>
        <v>Hickory</v>
      </c>
      <c r="E148" s="1" t="str">
        <f>IFERROR(INDEX(Census_Metro_List!$A:$A,MATCH(D148&amp;"*",Census_Metro_List!$A:$A,0)),"No Match")</f>
        <v>Hickory-Lenoir-Morganton, NC Metro Area</v>
      </c>
      <c r="F148" s="1" t="str">
        <f t="shared" si="7"/>
        <v>NC</v>
      </c>
      <c r="G148" s="1" t="str">
        <f t="shared" si="8"/>
        <v>Likely Match</v>
      </c>
    </row>
    <row r="149" spans="1:7" hidden="1" x14ac:dyDescent="0.35">
      <c r="A149" s="1" t="s">
        <v>550</v>
      </c>
      <c r="B149" s="1" t="s">
        <v>164</v>
      </c>
      <c r="C149" s="1" t="s">
        <v>1298</v>
      </c>
      <c r="D149" s="1" t="str">
        <f t="shared" si="6"/>
        <v>Huntington</v>
      </c>
      <c r="E149" s="1" t="str">
        <f>IFERROR(INDEX(Census_Metro_List!$A:$A,MATCH(D149&amp;"*",Census_Metro_List!$A:$A,0)),"No Match")</f>
        <v>Huntington-Ashland, WV-KY-OH Metro Area</v>
      </c>
      <c r="F149" s="1" t="str">
        <f t="shared" si="7"/>
        <v>WV</v>
      </c>
      <c r="G149" s="1" t="str">
        <f t="shared" si="8"/>
        <v>Likely Match</v>
      </c>
    </row>
    <row r="150" spans="1:7" hidden="1" x14ac:dyDescent="0.35">
      <c r="A150" s="1" t="s">
        <v>551</v>
      </c>
      <c r="B150" s="1" t="s">
        <v>126</v>
      </c>
      <c r="C150" s="1" t="s">
        <v>1298</v>
      </c>
      <c r="D150" s="1" t="str">
        <f t="shared" si="6"/>
        <v>Fort Collins</v>
      </c>
      <c r="E150" s="1" t="str">
        <f>IFERROR(INDEX(Census_Metro_List!$A:$A,MATCH(D150&amp;"*",Census_Metro_List!$A:$A,0)),"No Match")</f>
        <v>Fort Collins-Loveland, CO Metro Area</v>
      </c>
      <c r="F150" s="1" t="str">
        <f t="shared" si="7"/>
        <v>CO</v>
      </c>
      <c r="G150" s="1" t="str">
        <f t="shared" si="8"/>
        <v>Likely Match</v>
      </c>
    </row>
    <row r="151" spans="1:7" hidden="1" x14ac:dyDescent="0.35">
      <c r="A151" s="1" t="s">
        <v>552</v>
      </c>
      <c r="B151" s="1" t="s">
        <v>302</v>
      </c>
      <c r="C151" s="1" t="s">
        <v>1298</v>
      </c>
      <c r="D151" s="1" t="str">
        <f t="shared" si="6"/>
        <v>Rockford</v>
      </c>
      <c r="E151" s="1" t="str">
        <f>IFERROR(INDEX(Census_Metro_List!$A:$A,MATCH(D151&amp;"*",Census_Metro_List!$A:$A,0)),"No Match")</f>
        <v>Rockford, IL Metro Area</v>
      </c>
      <c r="F151" s="1" t="str">
        <f t="shared" si="7"/>
        <v>IL</v>
      </c>
      <c r="G151" s="1" t="str">
        <f t="shared" si="8"/>
        <v>Likely Match</v>
      </c>
    </row>
    <row r="152" spans="1:7" hidden="1" x14ac:dyDescent="0.35">
      <c r="A152" s="1" t="s">
        <v>553</v>
      </c>
      <c r="B152" s="1" t="s">
        <v>212</v>
      </c>
      <c r="C152" s="1" t="s">
        <v>1298</v>
      </c>
      <c r="D152" s="1" t="str">
        <f t="shared" si="6"/>
        <v>Lincoln</v>
      </c>
      <c r="E152" s="1" t="str">
        <f>IFERROR(INDEX(Census_Metro_List!$A:$A,MATCH(D152&amp;"*",Census_Metro_List!$A:$A,0)),"No Match")</f>
        <v>Lincoln, NE Metro Area</v>
      </c>
      <c r="F152" s="1" t="str">
        <f t="shared" si="7"/>
        <v>NE</v>
      </c>
      <c r="G152" s="1" t="str">
        <f t="shared" si="8"/>
        <v>Likely Match</v>
      </c>
    </row>
    <row r="153" spans="1:7" hidden="1" x14ac:dyDescent="0.35">
      <c r="A153" s="1" t="s">
        <v>554</v>
      </c>
      <c r="B153" s="1" t="s">
        <v>131</v>
      </c>
      <c r="C153" s="1" t="s">
        <v>1298</v>
      </c>
      <c r="D153" s="1" t="str">
        <f t="shared" si="6"/>
        <v>Gainesville</v>
      </c>
      <c r="E153" s="1" t="str">
        <f>IFERROR(INDEX(Census_Metro_List!$A:$A,MATCH(D153&amp;"*",Census_Metro_List!$A:$A,0)),"No Match")</f>
        <v>Gainesville, FL Metro Area</v>
      </c>
      <c r="F153" s="1" t="str">
        <f t="shared" si="7"/>
        <v>FL</v>
      </c>
      <c r="G153" s="1" t="str">
        <f t="shared" si="8"/>
        <v>Likely Match</v>
      </c>
    </row>
    <row r="154" spans="1:7" hidden="1" x14ac:dyDescent="0.35">
      <c r="A154" s="1" t="s">
        <v>555</v>
      </c>
      <c r="B154" s="1" t="s">
        <v>48</v>
      </c>
      <c r="C154" s="1" t="s">
        <v>1298</v>
      </c>
      <c r="D154" s="1" t="str">
        <f t="shared" si="6"/>
        <v>Boulder</v>
      </c>
      <c r="E154" s="1" t="str">
        <f>IFERROR(INDEX(Census_Metro_List!$A:$A,MATCH(D154&amp;"*",Census_Metro_List!$A:$A,0)),"No Match")</f>
        <v>Boulder, CO Metro Area</v>
      </c>
      <c r="F154" s="1" t="str">
        <f t="shared" si="7"/>
        <v>CO</v>
      </c>
      <c r="G154" s="1" t="str">
        <f t="shared" si="8"/>
        <v>Likely Match</v>
      </c>
    </row>
    <row r="155" spans="1:7" hidden="1" x14ac:dyDescent="0.35">
      <c r="A155" s="1" t="s">
        <v>556</v>
      </c>
      <c r="B155" s="1" t="s">
        <v>143</v>
      </c>
      <c r="C155" s="1" t="s">
        <v>1298</v>
      </c>
      <c r="D155" s="1" t="str">
        <f t="shared" si="6"/>
        <v>Green Bay</v>
      </c>
      <c r="E155" s="1" t="str">
        <f>IFERROR(INDEX(Census_Metro_List!$A:$A,MATCH(D155&amp;"*",Census_Metro_List!$A:$A,0)),"No Match")</f>
        <v>Green Bay, WI Metro Area</v>
      </c>
      <c r="F155" s="1" t="str">
        <f t="shared" si="7"/>
        <v>WI</v>
      </c>
      <c r="G155" s="1" t="str">
        <f t="shared" si="8"/>
        <v>Likely Match</v>
      </c>
    </row>
    <row r="156" spans="1:7" hidden="1" x14ac:dyDescent="0.35">
      <c r="A156" s="1" t="s">
        <v>557</v>
      </c>
      <c r="B156" s="1" t="s">
        <v>83</v>
      </c>
      <c r="C156" s="1" t="s">
        <v>1298</v>
      </c>
      <c r="D156" s="1" t="str">
        <f t="shared" si="6"/>
        <v>Columbus</v>
      </c>
      <c r="E156" s="1" t="str">
        <f>IFERROR(INDEX(Census_Metro_List!$A:$A,MATCH(D156&amp;"*",Census_Metro_List!$A:$A,0)),"No Match")</f>
        <v>Columbus, GA-AL Metro Area</v>
      </c>
      <c r="F156" s="1" t="str">
        <f t="shared" si="7"/>
        <v>GA</v>
      </c>
      <c r="G156" s="1" t="str">
        <f t="shared" si="8"/>
        <v>Likely Match</v>
      </c>
    </row>
    <row r="157" spans="1:7" hidden="1" x14ac:dyDescent="0.35">
      <c r="A157" s="1" t="s">
        <v>558</v>
      </c>
      <c r="B157" s="1" t="s">
        <v>339</v>
      </c>
      <c r="C157" s="1" t="s">
        <v>1298</v>
      </c>
      <c r="D157" s="1" t="str">
        <f t="shared" si="6"/>
        <v>South Bend</v>
      </c>
      <c r="E157" s="1" t="str">
        <f>IFERROR(INDEX(Census_Metro_List!$A:$A,MATCH(D157&amp;"*",Census_Metro_List!$A:$A,0)),"No Match")</f>
        <v>South Bend-Mishawaka, IN-MI Metro Area</v>
      </c>
      <c r="F157" s="1" t="str">
        <f t="shared" si="7"/>
        <v>IN</v>
      </c>
      <c r="G157" s="1" t="str">
        <f t="shared" si="8"/>
        <v>Likely Match</v>
      </c>
    </row>
    <row r="158" spans="1:7" hidden="1" x14ac:dyDescent="0.35">
      <c r="A158" s="1" t="s">
        <v>559</v>
      </c>
      <c r="B158" s="1" t="s">
        <v>340</v>
      </c>
      <c r="C158" s="1" t="s">
        <v>1298</v>
      </c>
      <c r="D158" s="1" t="str">
        <f t="shared" si="6"/>
        <v>Spartanburg</v>
      </c>
      <c r="E158" s="1" t="str">
        <f>IFERROR(INDEX(Census_Metro_List!$A:$A,MATCH(D158&amp;"*",Census_Metro_List!$A:$A,0)),"No Match")</f>
        <v>Spartanburg, SC Metro Area</v>
      </c>
      <c r="F158" s="1" t="str">
        <f t="shared" si="7"/>
        <v>SC</v>
      </c>
      <c r="G158" s="1" t="str">
        <f t="shared" si="8"/>
        <v>Likely Match</v>
      </c>
    </row>
    <row r="159" spans="1:7" hidden="1" x14ac:dyDescent="0.35">
      <c r="A159" s="1" t="s">
        <v>560</v>
      </c>
      <c r="B159" s="1" t="s">
        <v>142</v>
      </c>
      <c r="C159" s="1" t="s">
        <v>1298</v>
      </c>
      <c r="D159" s="1" t="str">
        <f t="shared" si="6"/>
        <v>Greeley</v>
      </c>
      <c r="E159" s="1" t="str">
        <f>IFERROR(INDEX(Census_Metro_List!$A:$A,MATCH(D159&amp;"*",Census_Metro_List!$A:$A,0)),"No Match")</f>
        <v>Greeley, CO Metro Area</v>
      </c>
      <c r="F159" s="1" t="str">
        <f t="shared" si="7"/>
        <v>CO</v>
      </c>
      <c r="G159" s="1" t="str">
        <f t="shared" si="8"/>
        <v>Likely Match</v>
      </c>
    </row>
    <row r="160" spans="1:7" hidden="1" x14ac:dyDescent="0.35">
      <c r="A160" s="1" t="s">
        <v>561</v>
      </c>
      <c r="B160" s="1" t="s">
        <v>219</v>
      </c>
      <c r="C160" s="1" t="s">
        <v>1298</v>
      </c>
      <c r="D160" s="1" t="str">
        <f t="shared" si="6"/>
        <v>Lubbock</v>
      </c>
      <c r="E160" s="1" t="str">
        <f>IFERROR(INDEX(Census_Metro_List!$A:$A,MATCH(D160&amp;"*",Census_Metro_List!$A:$A,0)),"No Match")</f>
        <v>Lubbock, TX Metro Area</v>
      </c>
      <c r="F160" s="1" t="str">
        <f t="shared" si="7"/>
        <v>TX</v>
      </c>
      <c r="G160" s="1" t="str">
        <f t="shared" si="8"/>
        <v>Likely Match</v>
      </c>
    </row>
    <row r="161" spans="1:7" hidden="1" x14ac:dyDescent="0.35">
      <c r="A161" s="1" t="s">
        <v>562</v>
      </c>
      <c r="B161" s="1" t="s">
        <v>75</v>
      </c>
      <c r="C161" s="1" t="s">
        <v>1298</v>
      </c>
      <c r="D161" s="1" t="str">
        <f t="shared" si="6"/>
        <v>Clarksville</v>
      </c>
      <c r="E161" s="1" t="str">
        <f>IFERROR(INDEX(Census_Metro_List!$A:$A,MATCH(D161&amp;"*",Census_Metro_List!$A:$A,0)),"No Match")</f>
        <v>Clarksville, TN-KY Metro Area</v>
      </c>
      <c r="F161" s="1" t="str">
        <f t="shared" si="7"/>
        <v>TN</v>
      </c>
      <c r="G161" s="1" t="str">
        <f t="shared" si="8"/>
        <v>Likely Match</v>
      </c>
    </row>
    <row r="162" spans="1:7" hidden="1" x14ac:dyDescent="0.35">
      <c r="A162" s="1" t="s">
        <v>563</v>
      </c>
      <c r="B162" s="1" t="s">
        <v>299</v>
      </c>
      <c r="C162" s="1" t="s">
        <v>1298</v>
      </c>
      <c r="D162" s="1" t="str">
        <f t="shared" si="6"/>
        <v>Roanoke</v>
      </c>
      <c r="E162" s="1" t="str">
        <f>IFERROR(INDEX(Census_Metro_List!$A:$A,MATCH(D162&amp;"*",Census_Metro_List!$A:$A,0)),"No Match")</f>
        <v>Roanoke, VA Metro Area</v>
      </c>
      <c r="F162" s="1" t="str">
        <f t="shared" si="7"/>
        <v>VA</v>
      </c>
      <c r="G162" s="1" t="str">
        <f t="shared" si="8"/>
        <v>Likely Match</v>
      </c>
    </row>
    <row r="163" spans="1:7" hidden="1" x14ac:dyDescent="0.35">
      <c r="A163" s="1" t="s">
        <v>564</v>
      </c>
      <c r="B163" s="1" t="s">
        <v>115</v>
      </c>
      <c r="C163" s="1" t="s">
        <v>1298</v>
      </c>
      <c r="D163" s="1" t="str">
        <f t="shared" si="6"/>
        <v>Evansville</v>
      </c>
      <c r="E163" s="1" t="str">
        <f>IFERROR(INDEX(Census_Metro_List!$A:$A,MATCH(D163&amp;"*",Census_Metro_List!$A:$A,0)),"No Match")</f>
        <v>Evansville, IN Metro Area</v>
      </c>
      <c r="F163" s="1" t="str">
        <f t="shared" si="7"/>
        <v>IN</v>
      </c>
      <c r="G163" s="1" t="str">
        <f t="shared" si="8"/>
        <v>Likely Match</v>
      </c>
    </row>
    <row r="164" spans="1:7" hidden="1" x14ac:dyDescent="0.35">
      <c r="A164" s="1" t="s">
        <v>565</v>
      </c>
      <c r="B164" s="1" t="s">
        <v>188</v>
      </c>
      <c r="C164" s="1" t="s">
        <v>1298</v>
      </c>
      <c r="D164" s="1" t="str">
        <f t="shared" si="6"/>
        <v>Kingsport</v>
      </c>
      <c r="E164" s="1" t="str">
        <f>IFERROR(INDEX(Census_Metro_List!$A:$A,MATCH(D164&amp;"*",Census_Metro_List!$A:$A,0)),"No Match")</f>
        <v>Kingsport-Bristol, TN-VA Metro Area</v>
      </c>
      <c r="F164" s="1" t="str">
        <f t="shared" si="7"/>
        <v>TN</v>
      </c>
      <c r="G164" s="1" t="str">
        <f t="shared" si="8"/>
        <v>Likely Match</v>
      </c>
    </row>
    <row r="165" spans="1:7" hidden="1" x14ac:dyDescent="0.35">
      <c r="A165" s="1" t="s">
        <v>566</v>
      </c>
      <c r="B165" s="1" t="s">
        <v>185</v>
      </c>
      <c r="C165" s="1" t="s">
        <v>1298</v>
      </c>
      <c r="D165" s="1" t="str">
        <f t="shared" si="6"/>
        <v>Kennewick</v>
      </c>
      <c r="E165" s="1" t="str">
        <f>IFERROR(INDEX(Census_Metro_List!$A:$A,MATCH(D165&amp;"*",Census_Metro_List!$A:$A,0)),"No Match")</f>
        <v>Kennewick-Richland, WA Metro Area</v>
      </c>
      <c r="F165" s="1" t="str">
        <f t="shared" si="7"/>
        <v>WA</v>
      </c>
      <c r="G165" s="1" t="str">
        <f t="shared" si="8"/>
        <v>Likely Match</v>
      </c>
    </row>
    <row r="166" spans="1:7" hidden="1" x14ac:dyDescent="0.35">
      <c r="A166" s="1" t="s">
        <v>567</v>
      </c>
      <c r="B166" s="1" t="s">
        <v>365</v>
      </c>
      <c r="C166" s="1" t="s">
        <v>1298</v>
      </c>
      <c r="D166" s="1" t="str">
        <f t="shared" si="6"/>
        <v>Utica</v>
      </c>
      <c r="E166" s="1" t="str">
        <f>IFERROR(INDEX(Census_Metro_List!$A:$A,MATCH(D166&amp;"*",Census_Metro_List!$A:$A,0)),"No Match")</f>
        <v>Utica-Rome, NY Metro Area</v>
      </c>
      <c r="F166" s="1" t="str">
        <f t="shared" si="7"/>
        <v>NY</v>
      </c>
      <c r="G166" s="1" t="str">
        <f t="shared" si="8"/>
        <v>Likely Match</v>
      </c>
    </row>
    <row r="167" spans="1:7" hidden="1" x14ac:dyDescent="0.35">
      <c r="A167" s="1" t="s">
        <v>568</v>
      </c>
      <c r="B167" s="1" t="s">
        <v>149</v>
      </c>
      <c r="C167" s="1" t="s">
        <v>1298</v>
      </c>
      <c r="D167" s="1" t="str">
        <f t="shared" si="6"/>
        <v>Hagerstown</v>
      </c>
      <c r="E167" s="1" t="str">
        <f>IFERROR(INDEX(Census_Metro_List!$A:$A,MATCH(D167&amp;"*",Census_Metro_List!$A:$A,0)),"No Match")</f>
        <v>Hagerstown-Martinsburg, MD-WV Metro Area</v>
      </c>
      <c r="F167" s="1" t="str">
        <f t="shared" si="7"/>
        <v>MD</v>
      </c>
      <c r="G167" s="1" t="str">
        <f t="shared" si="8"/>
        <v>Likely Match</v>
      </c>
    </row>
    <row r="168" spans="1:7" hidden="1" x14ac:dyDescent="0.35">
      <c r="A168" s="1" t="s">
        <v>569</v>
      </c>
      <c r="B168" s="1" t="s">
        <v>103</v>
      </c>
      <c r="C168" s="1" t="s">
        <v>1298</v>
      </c>
      <c r="D168" s="1" t="str">
        <f t="shared" si="6"/>
        <v>Duluth</v>
      </c>
      <c r="E168" s="1" t="str">
        <f>IFERROR(INDEX(Census_Metro_List!$A:$A,MATCH(D168&amp;"*",Census_Metro_List!$A:$A,0)),"No Match")</f>
        <v>Duluth, MN-WI Metro Area</v>
      </c>
      <c r="F168" s="1" t="str">
        <f t="shared" si="7"/>
        <v>MN</v>
      </c>
      <c r="G168" s="1" t="str">
        <f t="shared" si="8"/>
        <v>Likely Match</v>
      </c>
    </row>
    <row r="169" spans="1:7" hidden="1" x14ac:dyDescent="0.35">
      <c r="A169" s="1" t="s">
        <v>570</v>
      </c>
      <c r="B169" s="1" t="s">
        <v>264</v>
      </c>
      <c r="C169" s="1" t="s">
        <v>1298</v>
      </c>
      <c r="D169" s="1" t="str">
        <f t="shared" si="6"/>
        <v>Olympia</v>
      </c>
      <c r="E169" s="1" t="str">
        <f>IFERROR(INDEX(Census_Metro_List!$A:$A,MATCH(D169&amp;"*",Census_Metro_List!$A:$A,0)),"No Match")</f>
        <v>Olympia-Lacey-Tumwater, WA Metro Area</v>
      </c>
      <c r="F169" s="1" t="str">
        <f t="shared" si="7"/>
        <v>WA</v>
      </c>
      <c r="G169" s="1" t="str">
        <f t="shared" si="8"/>
        <v>Likely Match</v>
      </c>
    </row>
    <row r="170" spans="1:7" hidden="1" x14ac:dyDescent="0.35">
      <c r="A170" s="1" t="s">
        <v>571</v>
      </c>
      <c r="B170" s="1" t="s">
        <v>215</v>
      </c>
      <c r="C170" s="1" t="s">
        <v>1298</v>
      </c>
      <c r="D170" s="1" t="str">
        <f t="shared" si="6"/>
        <v>Longview</v>
      </c>
      <c r="E170" s="1" t="str">
        <f>IFERROR(INDEX(Census_Metro_List!$A:$A,MATCH(D170&amp;"*",Census_Metro_List!$A:$A,0)),"No Match")</f>
        <v>Longview, TX Metro Area</v>
      </c>
      <c r="F170" s="1" t="str">
        <f t="shared" si="7"/>
        <v>TX</v>
      </c>
      <c r="G170" s="1" t="str">
        <f t="shared" si="8"/>
        <v>Likely Match</v>
      </c>
    </row>
    <row r="171" spans="1:7" hidden="1" x14ac:dyDescent="0.35">
      <c r="A171" s="1" t="s">
        <v>572</v>
      </c>
      <c r="B171" s="1" t="s">
        <v>387</v>
      </c>
      <c r="C171" s="1" t="s">
        <v>1298</v>
      </c>
      <c r="D171" s="1" t="str">
        <f t="shared" si="6"/>
        <v>Wilmington</v>
      </c>
      <c r="E171" s="1" t="str">
        <f>IFERROR(INDEX(Census_Metro_List!$A:$A,MATCH(D171&amp;"*",Census_Metro_List!$A:$A,0)),"No Match")</f>
        <v>Wilmington, NC Metro Area</v>
      </c>
      <c r="F171" s="1" t="str">
        <f t="shared" si="7"/>
        <v>NC</v>
      </c>
      <c r="G171" s="1" t="str">
        <f t="shared" si="8"/>
        <v>Likely Match</v>
      </c>
    </row>
    <row r="172" spans="1:7" hidden="1" x14ac:dyDescent="0.35">
      <c r="A172" s="1" t="s">
        <v>573</v>
      </c>
      <c r="B172" s="1" t="s">
        <v>322</v>
      </c>
      <c r="C172" s="1" t="s">
        <v>1298</v>
      </c>
      <c r="D172" s="1" t="str">
        <f t="shared" si="6"/>
        <v>San Luis Obispo</v>
      </c>
      <c r="E172" s="1" t="str">
        <f>IFERROR(INDEX(Census_Metro_List!$A:$A,MATCH(D172&amp;"*",Census_Metro_List!$A:$A,0)),"No Match")</f>
        <v>San Luis Obispo-Paso Robles, CA Metro Area</v>
      </c>
      <c r="F172" s="1" t="str">
        <f t="shared" si="7"/>
        <v>CA</v>
      </c>
      <c r="G172" s="1" t="str">
        <f t="shared" si="8"/>
        <v>Likely Match</v>
      </c>
    </row>
    <row r="173" spans="1:7" hidden="1" x14ac:dyDescent="0.35">
      <c r="A173" s="1" t="s">
        <v>574</v>
      </c>
      <c r="B173" s="1" t="s">
        <v>88</v>
      </c>
      <c r="C173" s="1" t="s">
        <v>1298</v>
      </c>
      <c r="D173" s="1" t="str">
        <f t="shared" si="6"/>
        <v>Crestview</v>
      </c>
      <c r="E173" s="1" t="str">
        <f>IFERROR(INDEX(Census_Metro_List!$A:$A,MATCH(D173&amp;"*",Census_Metro_List!$A:$A,0)),"No Match")</f>
        <v>Crestview-Fort Walton Beach-Destin, FL Metro Area</v>
      </c>
      <c r="F173" s="1" t="str">
        <f t="shared" si="7"/>
        <v>FL</v>
      </c>
      <c r="G173" s="1" t="str">
        <f t="shared" si="8"/>
        <v>Likely Match</v>
      </c>
    </row>
    <row r="174" spans="1:7" hidden="1" x14ac:dyDescent="0.35">
      <c r="A174" s="1" t="s">
        <v>575</v>
      </c>
      <c r="B174" s="1" t="s">
        <v>231</v>
      </c>
      <c r="C174" s="1" t="s">
        <v>1298</v>
      </c>
      <c r="D174" s="1" t="str">
        <f t="shared" si="6"/>
        <v>Merced</v>
      </c>
      <c r="E174" s="1" t="str">
        <f>IFERROR(INDEX(Census_Metro_List!$A:$A,MATCH(D174&amp;"*",Census_Metro_List!$A:$A,0)),"No Match")</f>
        <v>Merced, CA Metro Area</v>
      </c>
      <c r="F174" s="1" t="str">
        <f t="shared" si="7"/>
        <v>CA</v>
      </c>
      <c r="G174" s="1" t="str">
        <f t="shared" si="8"/>
        <v>Likely Match</v>
      </c>
    </row>
    <row r="175" spans="1:7" hidden="1" x14ac:dyDescent="0.35">
      <c r="A175" s="1" t="s">
        <v>576</v>
      </c>
      <c r="B175" s="1" t="s">
        <v>372</v>
      </c>
      <c r="C175" s="1" t="s">
        <v>1298</v>
      </c>
      <c r="D175" s="1" t="str">
        <f t="shared" si="6"/>
        <v>Waco</v>
      </c>
      <c r="E175" s="1" t="str">
        <f>IFERROR(INDEX(Census_Metro_List!$A:$A,MATCH(D175&amp;"*",Census_Metro_List!$A:$A,0)),"No Match")</f>
        <v>Waco, TX Metro Area</v>
      </c>
      <c r="F175" s="1" t="str">
        <f t="shared" si="7"/>
        <v>TX</v>
      </c>
      <c r="G175" s="1" t="str">
        <f t="shared" si="8"/>
        <v>Likely Match</v>
      </c>
    </row>
    <row r="176" spans="1:7" hidden="1" x14ac:dyDescent="0.35">
      <c r="A176" s="1" t="s">
        <v>577</v>
      </c>
      <c r="B176" s="1" t="s">
        <v>63</v>
      </c>
      <c r="C176" s="1" t="s">
        <v>1298</v>
      </c>
      <c r="D176" s="1" t="str">
        <f t="shared" si="6"/>
        <v>Cedar Rapids</v>
      </c>
      <c r="E176" s="1" t="str">
        <f>IFERROR(INDEX(Census_Metro_List!$A:$A,MATCH(D176&amp;"*",Census_Metro_List!$A:$A,0)),"No Match")</f>
        <v>Cedar Rapids, IA Metro Area</v>
      </c>
      <c r="F176" s="1" t="str">
        <f t="shared" si="7"/>
        <v>IA</v>
      </c>
      <c r="G176" s="1" t="str">
        <f t="shared" si="8"/>
        <v>Likely Match</v>
      </c>
    </row>
    <row r="177" spans="1:7" hidden="1" x14ac:dyDescent="0.35">
      <c r="A177" s="1" t="s">
        <v>578</v>
      </c>
      <c r="B177" s="1" t="s">
        <v>24</v>
      </c>
      <c r="C177" s="1" t="s">
        <v>1298</v>
      </c>
      <c r="D177" s="1" t="str">
        <f t="shared" si="6"/>
        <v>Atlantic City</v>
      </c>
      <c r="E177" s="1" t="str">
        <f>IFERROR(INDEX(Census_Metro_List!$A:$A,MATCH(D177&amp;"*",Census_Metro_List!$A:$A,0)),"No Match")</f>
        <v>Atlantic City-Hammonton, NJ Metro Area</v>
      </c>
      <c r="F177" s="1" t="str">
        <f t="shared" si="7"/>
        <v>NJ</v>
      </c>
      <c r="G177" s="1" t="str">
        <f t="shared" si="8"/>
        <v>Likely Match</v>
      </c>
    </row>
    <row r="178" spans="1:7" hidden="1" x14ac:dyDescent="0.35">
      <c r="A178" s="1" t="s">
        <v>579</v>
      </c>
      <c r="B178" s="1" t="s">
        <v>51</v>
      </c>
      <c r="C178" s="1" t="s">
        <v>1298</v>
      </c>
      <c r="D178" s="1" t="str">
        <f t="shared" si="6"/>
        <v>Bremerton</v>
      </c>
      <c r="E178" s="1" t="str">
        <f>IFERROR(INDEX(Census_Metro_List!$A:$A,MATCH(D178&amp;"*",Census_Metro_List!$A:$A,0)),"No Match")</f>
        <v>Bremerton-Silverdale-Port Orchard, WA Metro Area</v>
      </c>
      <c r="F178" s="1" t="str">
        <f t="shared" si="7"/>
        <v>WA</v>
      </c>
      <c r="G178" s="1" t="str">
        <f t="shared" si="8"/>
        <v>Likely Match</v>
      </c>
    </row>
    <row r="179" spans="1:7" hidden="1" x14ac:dyDescent="0.35">
      <c r="A179" s="1" t="s">
        <v>580</v>
      </c>
      <c r="B179" s="1" t="s">
        <v>337</v>
      </c>
      <c r="C179" s="1" t="s">
        <v>1298</v>
      </c>
      <c r="D179" s="1" t="str">
        <f t="shared" si="6"/>
        <v>Sioux Falls</v>
      </c>
      <c r="E179" s="1" t="str">
        <f>IFERROR(INDEX(Census_Metro_List!$A:$A,MATCH(D179&amp;"*",Census_Metro_List!$A:$A,0)),"No Match")</f>
        <v>Sioux Falls, SD-MN Metro Area</v>
      </c>
      <c r="F179" s="1" t="str">
        <f t="shared" si="7"/>
        <v>SD</v>
      </c>
      <c r="G179" s="1" t="str">
        <f t="shared" si="8"/>
        <v>Likely Match</v>
      </c>
    </row>
    <row r="180" spans="1:7" hidden="1" x14ac:dyDescent="0.35">
      <c r="A180" s="1" t="s">
        <v>581</v>
      </c>
      <c r="B180" s="1" t="s">
        <v>323</v>
      </c>
      <c r="C180" s="1" t="s">
        <v>1298</v>
      </c>
      <c r="D180" s="1" t="str">
        <f t="shared" si="6"/>
        <v>Santa Cruz</v>
      </c>
      <c r="E180" s="1" t="str">
        <f>IFERROR(INDEX(Census_Metro_List!$A:$A,MATCH(D180&amp;"*",Census_Metro_List!$A:$A,0)),"No Match")</f>
        <v>Santa Cruz-Watsonville, CA Metro Area</v>
      </c>
      <c r="F180" s="1" t="str">
        <f t="shared" si="7"/>
        <v>CA</v>
      </c>
      <c r="G180" s="1" t="str">
        <f t="shared" si="8"/>
        <v>Likely Match</v>
      </c>
    </row>
    <row r="181" spans="1:7" hidden="1" x14ac:dyDescent="0.35">
      <c r="A181" s="1" t="s">
        <v>582</v>
      </c>
      <c r="B181" s="1" t="s">
        <v>113</v>
      </c>
      <c r="C181" s="1" t="s">
        <v>1298</v>
      </c>
      <c r="D181" s="1" t="str">
        <f t="shared" si="6"/>
        <v>Erie</v>
      </c>
      <c r="E181" s="1" t="str">
        <f>IFERROR(INDEX(Census_Metro_List!$A:$A,MATCH(D181&amp;"*",Census_Metro_List!$A:$A,0)),"No Match")</f>
        <v>Erie, PA Metro Area</v>
      </c>
      <c r="F181" s="1" t="str">
        <f t="shared" si="7"/>
        <v>PA</v>
      </c>
      <c r="G181" s="1" t="str">
        <f t="shared" si="8"/>
        <v>Likely Match</v>
      </c>
    </row>
    <row r="182" spans="1:7" hidden="1" x14ac:dyDescent="0.35">
      <c r="A182" s="1" t="s">
        <v>583</v>
      </c>
      <c r="B182" s="1" t="s">
        <v>259</v>
      </c>
      <c r="C182" s="1" t="s">
        <v>1298</v>
      </c>
      <c r="D182" s="1" t="str">
        <f t="shared" si="6"/>
        <v>Norwich</v>
      </c>
      <c r="E182" s="1" t="str">
        <f>IFERROR(INDEX(Census_Metro_List!$A:$A,MATCH(D182&amp;"*",Census_Metro_List!$A:$A,0)),"No Match")</f>
        <v>Norwich-New London-Willimantic, CT Metro Area</v>
      </c>
      <c r="F182" s="1" t="str">
        <f t="shared" si="7"/>
        <v>CT</v>
      </c>
      <c r="G182" s="1" t="str">
        <f t="shared" si="8"/>
        <v>Likely Match</v>
      </c>
    </row>
    <row r="183" spans="1:7" hidden="1" x14ac:dyDescent="0.35">
      <c r="A183" s="1" t="s">
        <v>584</v>
      </c>
      <c r="B183" s="1" t="s">
        <v>13</v>
      </c>
      <c r="C183" s="1" t="s">
        <v>1298</v>
      </c>
      <c r="D183" s="1" t="str">
        <f t="shared" si="6"/>
        <v>Amarillo</v>
      </c>
      <c r="E183" s="1" t="str">
        <f>IFERROR(INDEX(Census_Metro_List!$A:$A,MATCH(D183&amp;"*",Census_Metro_List!$A:$A,0)),"No Match")</f>
        <v>Amarillo, TX Metro Area</v>
      </c>
      <c r="F183" s="1" t="str">
        <f t="shared" si="7"/>
        <v>TX</v>
      </c>
      <c r="G183" s="1" t="str">
        <f t="shared" si="8"/>
        <v>Likely Match</v>
      </c>
    </row>
    <row r="184" spans="1:7" hidden="1" x14ac:dyDescent="0.35">
      <c r="A184" s="1" t="s">
        <v>585</v>
      </c>
      <c r="B184" s="1" t="s">
        <v>201</v>
      </c>
      <c r="C184" s="1" t="s">
        <v>1298</v>
      </c>
      <c r="D184" s="1" t="str">
        <f t="shared" si="6"/>
        <v>Laredo</v>
      </c>
      <c r="E184" s="1" t="str">
        <f>IFERROR(INDEX(Census_Metro_List!$A:$A,MATCH(D184&amp;"*",Census_Metro_List!$A:$A,0)),"No Match")</f>
        <v>Laredo, TX Metro Area</v>
      </c>
      <c r="F184" s="1" t="str">
        <f t="shared" si="7"/>
        <v>TX</v>
      </c>
      <c r="G184" s="1" t="str">
        <f t="shared" si="8"/>
        <v>Likely Match</v>
      </c>
    </row>
    <row r="185" spans="1:7" hidden="1" x14ac:dyDescent="0.35">
      <c r="A185" s="1" t="s">
        <v>586</v>
      </c>
      <c r="B185" s="1" t="s">
        <v>361</v>
      </c>
      <c r="C185" s="1" t="s">
        <v>1298</v>
      </c>
      <c r="D185" s="1" t="str">
        <f t="shared" si="6"/>
        <v>Tuscaloosa</v>
      </c>
      <c r="E185" s="1" t="str">
        <f>IFERROR(INDEX(Census_Metro_List!$A:$A,MATCH(D185&amp;"*",Census_Metro_List!$A:$A,0)),"No Match")</f>
        <v>Tuscaloosa, AL Metro Area</v>
      </c>
      <c r="F185" s="1" t="str">
        <f t="shared" si="7"/>
        <v>AL</v>
      </c>
      <c r="G185" s="1" t="str">
        <f t="shared" si="8"/>
        <v>Likely Match</v>
      </c>
    </row>
    <row r="186" spans="1:7" hidden="1" x14ac:dyDescent="0.35">
      <c r="A186" s="1" t="s">
        <v>587</v>
      </c>
      <c r="B186" s="1" t="s">
        <v>79</v>
      </c>
      <c r="C186" s="1" t="s">
        <v>1298</v>
      </c>
      <c r="D186" s="1" t="str">
        <f t="shared" si="6"/>
        <v>College Station</v>
      </c>
      <c r="E186" s="1" t="str">
        <f>IFERROR(INDEX(Census_Metro_List!$A:$A,MATCH(D186&amp;"*",Census_Metro_List!$A:$A,0)),"No Match")</f>
        <v>College Station-Bryan, TX Metro Area</v>
      </c>
      <c r="F186" s="1" t="str">
        <f t="shared" si="7"/>
        <v>TX</v>
      </c>
      <c r="G186" s="1" t="str">
        <f t="shared" si="8"/>
        <v>Likely Match</v>
      </c>
    </row>
    <row r="187" spans="1:7" hidden="1" x14ac:dyDescent="0.35">
      <c r="A187" s="1" t="s">
        <v>588</v>
      </c>
      <c r="B187" s="1" t="s">
        <v>182</v>
      </c>
      <c r="C187" s="1" t="s">
        <v>1298</v>
      </c>
      <c r="D187" s="1" t="str">
        <f t="shared" si="6"/>
        <v>Kalamazoo</v>
      </c>
      <c r="E187" s="1" t="str">
        <f>IFERROR(INDEX(Census_Metro_List!$A:$A,MATCH(D187&amp;"*",Census_Metro_List!$A:$A,0)),"No Match")</f>
        <v>Kalamazoo-Portage, MI Metro Area</v>
      </c>
      <c r="F187" s="1" t="str">
        <f t="shared" si="7"/>
        <v>MI</v>
      </c>
      <c r="G187" s="1" t="str">
        <f t="shared" si="8"/>
        <v>Likely Match</v>
      </c>
    </row>
    <row r="188" spans="1:7" hidden="1" x14ac:dyDescent="0.35">
      <c r="A188" s="1" t="s">
        <v>589</v>
      </c>
      <c r="B188" s="1" t="s">
        <v>220</v>
      </c>
      <c r="C188" s="1" t="s">
        <v>1298</v>
      </c>
      <c r="D188" s="1" t="str">
        <f t="shared" si="6"/>
        <v>Lynchburg</v>
      </c>
      <c r="E188" s="1" t="str">
        <f>IFERROR(INDEX(Census_Metro_List!$A:$A,MATCH(D188&amp;"*",Census_Metro_List!$A:$A,0)),"No Match")</f>
        <v>Lynchburg, VA Metro Area</v>
      </c>
      <c r="F188" s="1" t="str">
        <f t="shared" si="7"/>
        <v>VA</v>
      </c>
      <c r="G188" s="1" t="str">
        <f t="shared" si="8"/>
        <v>Likely Match</v>
      </c>
    </row>
    <row r="189" spans="1:7" hidden="1" x14ac:dyDescent="0.35">
      <c r="A189" s="1" t="s">
        <v>590</v>
      </c>
      <c r="B189" s="1" t="s">
        <v>66</v>
      </c>
      <c r="C189" s="1" t="s">
        <v>1298</v>
      </c>
      <c r="D189" s="1" t="str">
        <f t="shared" si="6"/>
        <v>Charleston</v>
      </c>
      <c r="E189" s="1" t="str">
        <f>IFERROR(INDEX(Census_Metro_List!$A:$A,MATCH(D189&amp;"*",Census_Metro_List!$A:$A,0)),"No Match")</f>
        <v>Charleston, WV Metro Area</v>
      </c>
      <c r="F189" s="1" t="str">
        <f t="shared" si="7"/>
        <v>WV</v>
      </c>
      <c r="G189" s="1" t="str">
        <f t="shared" si="8"/>
        <v>Likely Match</v>
      </c>
    </row>
    <row r="190" spans="1:7" hidden="1" x14ac:dyDescent="0.35">
      <c r="A190" s="1" t="s">
        <v>591</v>
      </c>
      <c r="B190" s="1" t="s">
        <v>391</v>
      </c>
      <c r="C190" s="1" t="s">
        <v>1298</v>
      </c>
      <c r="D190" s="1" t="str">
        <f t="shared" si="6"/>
        <v>Yakima</v>
      </c>
      <c r="E190" s="1" t="str">
        <f>IFERROR(INDEX(Census_Metro_List!$A:$A,MATCH(D190&amp;"*",Census_Metro_List!$A:$A,0)),"No Match")</f>
        <v>Yakima, WA Metro Area</v>
      </c>
      <c r="F190" s="1" t="str">
        <f t="shared" si="7"/>
        <v>WA</v>
      </c>
      <c r="G190" s="1" t="str">
        <f t="shared" si="8"/>
        <v>Likely Match</v>
      </c>
    </row>
    <row r="191" spans="1:7" hidden="1" x14ac:dyDescent="0.35">
      <c r="A191" s="1" t="s">
        <v>592</v>
      </c>
      <c r="B191" s="1" t="s">
        <v>117</v>
      </c>
      <c r="C191" s="1" t="s">
        <v>1298</v>
      </c>
      <c r="D191" s="1" t="str">
        <f t="shared" si="6"/>
        <v>Fargo</v>
      </c>
      <c r="E191" s="1" t="str">
        <f>IFERROR(INDEX(Census_Metro_List!$A:$A,MATCH(D191&amp;"*",Census_Metro_List!$A:$A,0)),"No Match")</f>
        <v>Fargo, ND-MN Metro Area</v>
      </c>
      <c r="F191" s="1" t="str">
        <f t="shared" si="7"/>
        <v>ND</v>
      </c>
      <c r="G191" s="1" t="str">
        <f t="shared" si="8"/>
        <v>Likely Match</v>
      </c>
    </row>
    <row r="192" spans="1:7" hidden="1" x14ac:dyDescent="0.35">
      <c r="A192" s="1" t="s">
        <v>593</v>
      </c>
      <c r="B192" s="1" t="s">
        <v>40</v>
      </c>
      <c r="C192" s="1" t="s">
        <v>1298</v>
      </c>
      <c r="D192" s="1" t="str">
        <f t="shared" si="6"/>
        <v>Binghamton</v>
      </c>
      <c r="E192" s="1" t="str">
        <f>IFERROR(INDEX(Census_Metro_List!$A:$A,MATCH(D192&amp;"*",Census_Metro_List!$A:$A,0)),"No Match")</f>
        <v>Binghamton, NY Metro Area</v>
      </c>
      <c r="F192" s="1" t="str">
        <f t="shared" si="7"/>
        <v>NY</v>
      </c>
      <c r="G192" s="1" t="str">
        <f t="shared" si="8"/>
        <v>Likely Match</v>
      </c>
    </row>
    <row r="193" spans="1:7" hidden="1" x14ac:dyDescent="0.35">
      <c r="A193" s="1" t="s">
        <v>594</v>
      </c>
      <c r="B193" s="1" t="s">
        <v>127</v>
      </c>
      <c r="C193" s="1" t="s">
        <v>1298</v>
      </c>
      <c r="D193" s="1" t="str">
        <f t="shared" si="6"/>
        <v>Fort Smith</v>
      </c>
      <c r="E193" s="1" t="str">
        <f>IFERROR(INDEX(Census_Metro_List!$A:$A,MATCH(D193&amp;"*",Census_Metro_List!$A:$A,0)),"No Match")</f>
        <v>Fort Smith, AR-OK Metro Area</v>
      </c>
      <c r="F193" s="1" t="str">
        <f t="shared" si="7"/>
        <v>AR</v>
      </c>
      <c r="G193" s="1" t="str">
        <f t="shared" si="8"/>
        <v>Likely Match</v>
      </c>
    </row>
    <row r="194" spans="1:7" hidden="1" x14ac:dyDescent="0.35">
      <c r="A194" s="1" t="s">
        <v>595</v>
      </c>
      <c r="B194" s="1" t="s">
        <v>19</v>
      </c>
      <c r="C194" s="1" t="s">
        <v>1298</v>
      </c>
      <c r="D194" s="1" t="str">
        <f t="shared" ref="D194:D257" si="9">LEFT(A194,FIND(",",A194)-1)</f>
        <v>Appleton</v>
      </c>
      <c r="E194" s="1" t="str">
        <f>IFERROR(INDEX(Census_Metro_List!$A:$A,MATCH(D194&amp;"*",Census_Metro_List!$A:$A,0)),"No Match")</f>
        <v>Appleton, WI Metro Area</v>
      </c>
      <c r="F194" s="1" t="str">
        <f t="shared" ref="F194:F257" si="10">TRIM(RIGHT(A194,LEN(A194)-FIND(",",A194)))</f>
        <v>WI</v>
      </c>
      <c r="G194" s="1" t="str">
        <f t="shared" ref="G194:G257" si="11">IF(E194="No Match","Review",IF(ISNUMBER(SEARCH(F194,E194)),"Likely Match","Review"))</f>
        <v>Likely Match</v>
      </c>
    </row>
    <row r="195" spans="1:7" hidden="1" x14ac:dyDescent="0.35">
      <c r="A195" s="1" t="s">
        <v>596</v>
      </c>
      <c r="B195" s="1" t="s">
        <v>356</v>
      </c>
      <c r="C195" s="1" t="s">
        <v>1298</v>
      </c>
      <c r="D195" s="1" t="str">
        <f t="shared" si="9"/>
        <v>Topeka</v>
      </c>
      <c r="E195" s="1" t="str">
        <f>IFERROR(INDEX(Census_Metro_List!$A:$A,MATCH(D195&amp;"*",Census_Metro_List!$A:$A,0)),"No Match")</f>
        <v>Topeka, KS Metro Area</v>
      </c>
      <c r="F195" s="1" t="str">
        <f t="shared" si="10"/>
        <v>KS</v>
      </c>
      <c r="G195" s="1" t="str">
        <f t="shared" si="11"/>
        <v>Likely Match</v>
      </c>
    </row>
    <row r="196" spans="1:7" hidden="1" x14ac:dyDescent="0.35">
      <c r="A196" s="1" t="s">
        <v>597</v>
      </c>
      <c r="B196" s="1" t="s">
        <v>221</v>
      </c>
      <c r="C196" s="1" t="s">
        <v>1298</v>
      </c>
      <c r="D196" s="1" t="str">
        <f t="shared" si="9"/>
        <v>Macon</v>
      </c>
      <c r="E196" s="1" t="str">
        <f>IFERROR(INDEX(Census_Metro_List!$A:$A,MATCH(D196&amp;"*",Census_Metro_List!$A:$A,0)),"No Match")</f>
        <v>Macon-Bibb County, GA Metro Area</v>
      </c>
      <c r="F196" s="1" t="str">
        <f t="shared" si="10"/>
        <v>GA</v>
      </c>
      <c r="G196" s="1" t="str">
        <f t="shared" si="11"/>
        <v>Likely Match</v>
      </c>
    </row>
    <row r="197" spans="1:7" hidden="1" x14ac:dyDescent="0.35">
      <c r="A197" s="1" t="s">
        <v>598</v>
      </c>
      <c r="B197" s="1" t="s">
        <v>363</v>
      </c>
      <c r="C197" s="1" t="s">
        <v>1298</v>
      </c>
      <c r="D197" s="1" t="str">
        <f t="shared" si="9"/>
        <v>Tyler</v>
      </c>
      <c r="E197" s="1" t="str">
        <f>IFERROR(INDEX(Census_Metro_List!$A:$A,MATCH(D197&amp;"*",Census_Metro_List!$A:$A,0)),"No Match")</f>
        <v>Tyler, TX Metro Area</v>
      </c>
      <c r="F197" s="1" t="str">
        <f t="shared" si="10"/>
        <v>TX</v>
      </c>
      <c r="G197" s="1" t="str">
        <f t="shared" si="11"/>
        <v>Likely Match</v>
      </c>
    </row>
    <row r="198" spans="1:7" hidden="1" x14ac:dyDescent="0.35">
      <c r="A198" s="1" t="s">
        <v>599</v>
      </c>
      <c r="B198" s="1" t="s">
        <v>31</v>
      </c>
      <c r="C198" s="1" t="s">
        <v>1298</v>
      </c>
      <c r="D198" s="1" t="str">
        <f t="shared" si="9"/>
        <v>Barnstable Town</v>
      </c>
      <c r="E198" s="1" t="str">
        <f>IFERROR(INDEX(Census_Metro_List!$A:$A,MATCH(D198&amp;"*",Census_Metro_List!$A:$A,0)),"No Match")</f>
        <v>Barnstable Town, MA Metro Area</v>
      </c>
      <c r="F198" s="1" t="str">
        <f t="shared" si="10"/>
        <v>MA</v>
      </c>
      <c r="G198" s="1" t="str">
        <f t="shared" si="11"/>
        <v>Likely Match</v>
      </c>
    </row>
    <row r="199" spans="1:7" hidden="1" x14ac:dyDescent="0.35">
      <c r="A199" s="1" t="s">
        <v>600</v>
      </c>
      <c r="B199" s="1" t="s">
        <v>91</v>
      </c>
      <c r="C199" s="1" t="s">
        <v>1298</v>
      </c>
      <c r="D199" s="1" t="str">
        <f t="shared" si="9"/>
        <v>Daphne</v>
      </c>
      <c r="E199" s="1" t="str">
        <f>IFERROR(INDEX(Census_Metro_List!$A:$A,MATCH(D199&amp;"*",Census_Metro_List!$A:$A,0)),"No Match")</f>
        <v>Daphne-Fairhope-Foley, AL Metro Area</v>
      </c>
      <c r="F199" s="1" t="str">
        <f t="shared" si="10"/>
        <v>AL</v>
      </c>
      <c r="G199" s="1" t="str">
        <f t="shared" si="11"/>
        <v>Likely Match</v>
      </c>
    </row>
    <row r="200" spans="1:7" hidden="1" x14ac:dyDescent="0.35">
      <c r="A200" s="1" t="s">
        <v>601</v>
      </c>
      <c r="B200" s="1" t="s">
        <v>37</v>
      </c>
      <c r="C200" s="1" t="s">
        <v>1298</v>
      </c>
      <c r="D200" s="1" t="str">
        <f t="shared" si="9"/>
        <v>Bellingham</v>
      </c>
      <c r="E200" s="1" t="str">
        <f>IFERROR(INDEX(Census_Metro_List!$A:$A,MATCH(D200&amp;"*",Census_Metro_List!$A:$A,0)),"No Match")</f>
        <v>Bellingham, WA Metro Area</v>
      </c>
      <c r="F200" s="1" t="str">
        <f t="shared" si="10"/>
        <v>WA</v>
      </c>
      <c r="G200" s="1" t="str">
        <f t="shared" si="11"/>
        <v>Likely Match</v>
      </c>
    </row>
    <row r="201" spans="1:7" x14ac:dyDescent="0.35">
      <c r="A201" s="1" t="s">
        <v>602</v>
      </c>
      <c r="B201" s="1" t="s">
        <v>57</v>
      </c>
      <c r="C201" s="1" t="s">
        <v>1298</v>
      </c>
      <c r="D201" s="1" t="str">
        <f t="shared" si="9"/>
        <v>Burlington</v>
      </c>
      <c r="E201" s="1" t="str">
        <f>IFERROR(INDEX(Census_Metro_List!$A:$A,MATCH(D201&amp;"*",Census_Metro_List!$A:$A,0)),"No Match")</f>
        <v>Burlington, NC Metro Area</v>
      </c>
      <c r="F201" s="1" t="str">
        <f t="shared" si="10"/>
        <v>VT</v>
      </c>
      <c r="G201" s="1" t="str">
        <f t="shared" si="11"/>
        <v>Review</v>
      </c>
    </row>
    <row r="202" spans="1:7" hidden="1" x14ac:dyDescent="0.35">
      <c r="A202" s="1" t="s">
        <v>603</v>
      </c>
      <c r="B202" s="1" t="s">
        <v>300</v>
      </c>
      <c r="C202" s="1" t="s">
        <v>1298</v>
      </c>
      <c r="D202" s="1" t="str">
        <f t="shared" si="9"/>
        <v>Rochester</v>
      </c>
      <c r="E202" s="1" t="str">
        <f>IFERROR(INDEX(Census_Metro_List!$A:$A,MATCH(D202&amp;"*",Census_Metro_List!$A:$A,0)),"No Match")</f>
        <v>Rochester, MN Metro Area</v>
      </c>
      <c r="F202" s="1" t="str">
        <f t="shared" si="10"/>
        <v>MN</v>
      </c>
      <c r="G202" s="1" t="str">
        <f t="shared" si="11"/>
        <v>Likely Match</v>
      </c>
    </row>
    <row r="203" spans="1:7" x14ac:dyDescent="0.35">
      <c r="A203" s="1" t="s">
        <v>604</v>
      </c>
      <c r="B203" s="1" t="s">
        <v>195</v>
      </c>
      <c r="C203" s="1" t="s">
        <v>1298</v>
      </c>
      <c r="D203" s="1" t="str">
        <f t="shared" si="9"/>
        <v>Lafayette</v>
      </c>
      <c r="E203" s="1" t="str">
        <f>IFERROR(INDEX(Census_Metro_List!$A:$A,MATCH(D203&amp;"*",Census_Metro_List!$A:$A,0)),"No Match")</f>
        <v>Lafayette, LA Metro Area</v>
      </c>
      <c r="F203" s="1" t="str">
        <f t="shared" si="10"/>
        <v>IN</v>
      </c>
      <c r="G203" s="1" t="str">
        <f t="shared" si="11"/>
        <v>Review</v>
      </c>
    </row>
    <row r="204" spans="1:7" hidden="1" x14ac:dyDescent="0.35">
      <c r="A204" s="1" t="s">
        <v>605</v>
      </c>
      <c r="B204" s="1" t="s">
        <v>65</v>
      </c>
      <c r="C204" s="1" t="s">
        <v>1298</v>
      </c>
      <c r="D204" s="1" t="str">
        <f t="shared" si="9"/>
        <v>Champaign</v>
      </c>
      <c r="E204" s="1" t="str">
        <f>IFERROR(INDEX(Census_Metro_List!$A:$A,MATCH(D204&amp;"*",Census_Metro_List!$A:$A,0)),"No Match")</f>
        <v>Champaign-Urbana, IL Metro Area</v>
      </c>
      <c r="F204" s="1" t="str">
        <f t="shared" si="10"/>
        <v>IL</v>
      </c>
      <c r="G204" s="1" t="str">
        <f t="shared" si="11"/>
        <v>Likely Match</v>
      </c>
    </row>
    <row r="205" spans="1:7" hidden="1" x14ac:dyDescent="0.35">
      <c r="A205" s="1" t="s">
        <v>606</v>
      </c>
      <c r="B205" s="1" t="s">
        <v>229</v>
      </c>
      <c r="C205" s="1" t="s">
        <v>1298</v>
      </c>
      <c r="D205" s="1" t="str">
        <f t="shared" si="9"/>
        <v>Medford</v>
      </c>
      <c r="E205" s="1" t="str">
        <f>IFERROR(INDEX(Census_Metro_List!$A:$A,MATCH(D205&amp;"*",Census_Metro_List!$A:$A,0)),"No Match")</f>
        <v>Medford, OR Metro Area</v>
      </c>
      <c r="F205" s="1" t="str">
        <f t="shared" si="10"/>
        <v>OR</v>
      </c>
      <c r="G205" s="1" t="str">
        <f t="shared" si="11"/>
        <v>Likely Match</v>
      </c>
    </row>
    <row r="206" spans="1:7" hidden="1" x14ac:dyDescent="0.35">
      <c r="A206" s="1" t="s">
        <v>607</v>
      </c>
      <c r="B206" s="1" t="s">
        <v>69</v>
      </c>
      <c r="C206" s="1" t="s">
        <v>1298</v>
      </c>
      <c r="D206" s="1" t="str">
        <f t="shared" si="9"/>
        <v>Charlottesville</v>
      </c>
      <c r="E206" s="1" t="str">
        <f>IFERROR(INDEX(Census_Metro_List!$A:$A,MATCH(D206&amp;"*",Census_Metro_List!$A:$A,0)),"No Match")</f>
        <v>Charlottesville, VA Metro Area</v>
      </c>
      <c r="F206" s="1" t="str">
        <f t="shared" si="10"/>
        <v>VA</v>
      </c>
      <c r="G206" s="1" t="str">
        <f t="shared" si="11"/>
        <v>Likely Match</v>
      </c>
    </row>
    <row r="207" spans="1:7" hidden="1" x14ac:dyDescent="0.35">
      <c r="A207" s="1" t="s">
        <v>608</v>
      </c>
      <c r="B207" s="1" t="s">
        <v>196</v>
      </c>
      <c r="C207" s="1" t="s">
        <v>1298</v>
      </c>
      <c r="D207" s="1" t="str">
        <f t="shared" si="9"/>
        <v>Lake Charles</v>
      </c>
      <c r="E207" s="1" t="str">
        <f>IFERROR(INDEX(Census_Metro_List!$A:$A,MATCH(D207&amp;"*",Census_Metro_List!$A:$A,0)),"No Match")</f>
        <v>Lake Charles, LA Metro Area</v>
      </c>
      <c r="F207" s="1" t="str">
        <f t="shared" si="10"/>
        <v>LA</v>
      </c>
      <c r="G207" s="1" t="str">
        <f t="shared" si="11"/>
        <v>Likely Match</v>
      </c>
    </row>
    <row r="208" spans="1:7" hidden="1" x14ac:dyDescent="0.35">
      <c r="A208" s="1" t="s">
        <v>609</v>
      </c>
      <c r="B208" s="1" t="s">
        <v>202</v>
      </c>
      <c r="C208" s="1" t="s">
        <v>1298</v>
      </c>
      <c r="D208" s="1" t="str">
        <f t="shared" si="9"/>
        <v>Las Cruces</v>
      </c>
      <c r="E208" s="1" t="str">
        <f>IFERROR(INDEX(Census_Metro_List!$A:$A,MATCH(D208&amp;"*",Census_Metro_List!$A:$A,0)),"No Match")</f>
        <v>Las Cruces, NM Metro Area</v>
      </c>
      <c r="F208" s="1" t="str">
        <f t="shared" si="10"/>
        <v>NM</v>
      </c>
      <c r="G208" s="1" t="str">
        <f t="shared" si="11"/>
        <v>Likely Match</v>
      </c>
    </row>
    <row r="209" spans="1:7" hidden="1" x14ac:dyDescent="0.35">
      <c r="A209" s="1" t="s">
        <v>610</v>
      </c>
      <c r="B209" s="1" t="s">
        <v>73</v>
      </c>
      <c r="C209" s="1" t="s">
        <v>1298</v>
      </c>
      <c r="D209" s="1" t="str">
        <f t="shared" si="9"/>
        <v>Chico</v>
      </c>
      <c r="E209" s="1" t="str">
        <f>IFERROR(INDEX(Census_Metro_List!$A:$A,MATCH(D209&amp;"*",Census_Metro_List!$A:$A,0)),"No Match")</f>
        <v>Chico, CA Metro Area</v>
      </c>
      <c r="F209" s="1" t="str">
        <f t="shared" si="10"/>
        <v>CA</v>
      </c>
      <c r="G209" s="1" t="str">
        <f t="shared" si="11"/>
        <v>Likely Match</v>
      </c>
    </row>
    <row r="210" spans="1:7" hidden="1" x14ac:dyDescent="0.35">
      <c r="A210" s="1" t="s">
        <v>611</v>
      </c>
      <c r="B210" s="1" t="s">
        <v>158</v>
      </c>
      <c r="C210" s="1" t="s">
        <v>1298</v>
      </c>
      <c r="D210" s="1" t="str">
        <f t="shared" si="9"/>
        <v>Hilton Head Island</v>
      </c>
      <c r="E210" s="1" t="str">
        <f>IFERROR(INDEX(Census_Metro_List!$A:$A,MATCH(D210&amp;"*",Census_Metro_List!$A:$A,0)),"No Match")</f>
        <v>Hilton Head Island-Bluffton-Port Royal, SC Metro Area</v>
      </c>
      <c r="F210" s="1" t="str">
        <f t="shared" si="10"/>
        <v>SC</v>
      </c>
      <c r="G210" s="1" t="str">
        <f t="shared" si="11"/>
        <v>Likely Match</v>
      </c>
    </row>
    <row r="211" spans="1:7" hidden="1" x14ac:dyDescent="0.35">
      <c r="A211" s="1" t="s">
        <v>612</v>
      </c>
      <c r="B211" s="1" t="s">
        <v>22</v>
      </c>
      <c r="C211" s="1" t="s">
        <v>1298</v>
      </c>
      <c r="D211" s="1" t="str">
        <f t="shared" si="9"/>
        <v>Athens</v>
      </c>
      <c r="E211" s="1" t="str">
        <f>IFERROR(INDEX(Census_Metro_List!$A:$A,MATCH(D211&amp;"*",Census_Metro_List!$A:$A,0)),"No Match")</f>
        <v>Athens-Clarke County, GA Metro Area</v>
      </c>
      <c r="F211" s="1" t="str">
        <f t="shared" si="10"/>
        <v>GA</v>
      </c>
      <c r="G211" s="1" t="str">
        <f t="shared" si="11"/>
        <v>Likely Match</v>
      </c>
    </row>
    <row r="212" spans="1:7" hidden="1" x14ac:dyDescent="0.35">
      <c r="A212" s="1" t="s">
        <v>613</v>
      </c>
      <c r="B212" s="1" t="s">
        <v>197</v>
      </c>
      <c r="C212" s="1" t="s">
        <v>1298</v>
      </c>
      <c r="D212" s="1" t="str">
        <f t="shared" si="9"/>
        <v>Lake Havasu City</v>
      </c>
      <c r="E212" s="1" t="str">
        <f>IFERROR(INDEX(Census_Metro_List!$A:$A,MATCH(D212&amp;"*",Census_Metro_List!$A:$A,0)),"No Match")</f>
        <v>Lake Havasu City-Kingman, AZ Metro Area</v>
      </c>
      <c r="F212" s="1" t="str">
        <f t="shared" si="10"/>
        <v>AZ</v>
      </c>
      <c r="G212" s="1" t="str">
        <f t="shared" si="11"/>
        <v>Likely Match</v>
      </c>
    </row>
    <row r="213" spans="1:7" hidden="1" x14ac:dyDescent="0.35">
      <c r="A213" s="1" t="s">
        <v>614</v>
      </c>
      <c r="B213" s="1" t="s">
        <v>81</v>
      </c>
      <c r="C213" s="1" t="s">
        <v>1298</v>
      </c>
      <c r="D213" s="1" t="str">
        <f t="shared" si="9"/>
        <v>Columbia</v>
      </c>
      <c r="E213" s="1" t="str">
        <f>IFERROR(INDEX(Census_Metro_List!$A:$A,MATCH(D213&amp;"*",Census_Metro_List!$A:$A,0)),"No Match")</f>
        <v>Columbia, MO Metro Area</v>
      </c>
      <c r="F213" s="1" t="str">
        <f t="shared" si="10"/>
        <v>MO</v>
      </c>
      <c r="G213" s="1" t="str">
        <f t="shared" si="11"/>
        <v>Likely Match</v>
      </c>
    </row>
    <row r="214" spans="1:7" hidden="1" x14ac:dyDescent="0.35">
      <c r="A214" s="1" t="s">
        <v>615</v>
      </c>
      <c r="B214" s="1" t="s">
        <v>342</v>
      </c>
      <c r="C214" s="1" t="s">
        <v>1298</v>
      </c>
      <c r="D214" s="1" t="str">
        <f t="shared" si="9"/>
        <v>Springfield</v>
      </c>
      <c r="E214" s="1" t="str">
        <f>IFERROR(INDEX(Census_Metro_List!$A:$A,MATCH(D214&amp;"*",Census_Metro_List!$A:$A,0)),"No Match")</f>
        <v>Springfield, IL Metro Area</v>
      </c>
      <c r="F214" s="1" t="str">
        <f t="shared" si="10"/>
        <v>IL</v>
      </c>
      <c r="G214" s="1" t="str">
        <f t="shared" si="11"/>
        <v>Likely Match</v>
      </c>
    </row>
    <row r="215" spans="1:7" hidden="1" x14ac:dyDescent="0.35">
      <c r="A215" s="1" t="s">
        <v>616</v>
      </c>
      <c r="B215" s="1" t="s">
        <v>162</v>
      </c>
      <c r="C215" s="1" t="s">
        <v>1298</v>
      </c>
      <c r="D215" s="1" t="str">
        <f t="shared" si="9"/>
        <v>Houma</v>
      </c>
      <c r="E215" s="1" t="str">
        <f>IFERROR(INDEX(Census_Metro_List!$A:$A,MATCH(D215&amp;"*",Census_Metro_List!$A:$A,0)),"No Match")</f>
        <v>Houma-Bayou Cane-Thibodaux, LA Metro Area</v>
      </c>
      <c r="F215" s="1" t="str">
        <f t="shared" si="10"/>
        <v>LA</v>
      </c>
      <c r="G215" s="1" t="str">
        <f t="shared" si="11"/>
        <v>Likely Match</v>
      </c>
    </row>
    <row r="216" spans="1:7" hidden="1" x14ac:dyDescent="0.35">
      <c r="A216" s="1" t="s">
        <v>617</v>
      </c>
      <c r="B216" s="1" t="s">
        <v>242</v>
      </c>
      <c r="C216" s="1" t="s">
        <v>1298</v>
      </c>
      <c r="D216" s="1" t="str">
        <f t="shared" si="9"/>
        <v>Monroe</v>
      </c>
      <c r="E216" s="1" t="str">
        <f>IFERROR(INDEX(Census_Metro_List!$A:$A,MATCH(D216&amp;"*",Census_Metro_List!$A:$A,0)),"No Match")</f>
        <v>Monroe, LA Metro Area</v>
      </c>
      <c r="F216" s="1" t="str">
        <f t="shared" si="10"/>
        <v>LA</v>
      </c>
      <c r="G216" s="1" t="str">
        <f t="shared" si="11"/>
        <v>Likely Match</v>
      </c>
    </row>
    <row r="217" spans="1:7" hidden="1" x14ac:dyDescent="0.35">
      <c r="A217" s="1" t="s">
        <v>618</v>
      </c>
      <c r="B217" s="1" t="s">
        <v>109</v>
      </c>
      <c r="C217" s="1" t="s">
        <v>1298</v>
      </c>
      <c r="D217" s="1" t="str">
        <f t="shared" si="9"/>
        <v>Elkhart</v>
      </c>
      <c r="E217" s="1" t="str">
        <f>IFERROR(INDEX(Census_Metro_List!$A:$A,MATCH(D217&amp;"*",Census_Metro_List!$A:$A,0)),"No Match")</f>
        <v>Elkhart-Goshen, IN Metro Area</v>
      </c>
      <c r="F217" s="1" t="str">
        <f t="shared" si="10"/>
        <v>IN</v>
      </c>
      <c r="G217" s="1" t="str">
        <f t="shared" si="11"/>
        <v>Likely Match</v>
      </c>
    </row>
    <row r="218" spans="1:7" hidden="1" x14ac:dyDescent="0.35">
      <c r="A218" s="1" t="s">
        <v>619</v>
      </c>
      <c r="B218" s="1" t="s">
        <v>177</v>
      </c>
      <c r="C218" s="1" t="s">
        <v>1298</v>
      </c>
      <c r="D218" s="1" t="str">
        <f t="shared" si="9"/>
        <v>Johnson City</v>
      </c>
      <c r="E218" s="1" t="str">
        <f>IFERROR(INDEX(Census_Metro_List!$A:$A,MATCH(D218&amp;"*",Census_Metro_List!$A:$A,0)),"No Match")</f>
        <v>Johnson City, TN Metro Area</v>
      </c>
      <c r="F218" s="1" t="str">
        <f t="shared" si="10"/>
        <v>TN</v>
      </c>
      <c r="G218" s="1" t="str">
        <f t="shared" si="11"/>
        <v>Likely Match</v>
      </c>
    </row>
    <row r="219" spans="1:7" hidden="1" x14ac:dyDescent="0.35">
      <c r="A219" s="1" t="s">
        <v>620</v>
      </c>
      <c r="B219" s="1" t="s">
        <v>395</v>
      </c>
      <c r="C219" s="1" t="s">
        <v>1298</v>
      </c>
      <c r="D219" s="1" t="str">
        <f t="shared" si="9"/>
        <v>Yuma</v>
      </c>
      <c r="E219" s="1" t="str">
        <f>IFERROR(INDEX(Census_Metro_List!$A:$A,MATCH(D219&amp;"*",Census_Metro_List!$A:$A,0)),"No Match")</f>
        <v>Yuma, AZ Metro Area</v>
      </c>
      <c r="F219" s="1" t="str">
        <f t="shared" si="10"/>
        <v>AZ</v>
      </c>
      <c r="G219" s="1" t="str">
        <f t="shared" si="11"/>
        <v>Likely Match</v>
      </c>
    </row>
    <row r="220" spans="1:7" hidden="1" x14ac:dyDescent="0.35">
      <c r="A220" s="1" t="s">
        <v>621</v>
      </c>
      <c r="B220" s="1" t="s">
        <v>132</v>
      </c>
      <c r="C220" s="1" t="s">
        <v>1298</v>
      </c>
      <c r="D220" s="1" t="str">
        <f t="shared" si="9"/>
        <v>Gainesville</v>
      </c>
      <c r="E220" s="1" t="str">
        <f>IFERROR(INDEX(Census_Metro_List!$A:$A,MATCH(D220&amp;"*",Census_Metro_List!$A:$A,0)),"No Match")</f>
        <v>Gainesville, FL Metro Area</v>
      </c>
      <c r="F220" s="1" t="str">
        <f t="shared" si="10"/>
        <v>GA</v>
      </c>
      <c r="G220" s="1" t="str">
        <f t="shared" si="11"/>
        <v>Likely Match</v>
      </c>
    </row>
    <row r="221" spans="1:7" x14ac:dyDescent="0.35">
      <c r="A221" s="1" t="s">
        <v>622</v>
      </c>
      <c r="B221" s="1" t="s">
        <v>174</v>
      </c>
      <c r="C221" s="1" t="s">
        <v>1298</v>
      </c>
      <c r="D221" s="1" t="str">
        <f t="shared" si="9"/>
        <v>Jacksonville</v>
      </c>
      <c r="E221" s="1" t="str">
        <f>IFERROR(INDEX(Census_Metro_List!$A:$A,MATCH(D221&amp;"*",Census_Metro_List!$A:$A,0)),"No Match")</f>
        <v>Jacksonville, FL Metro Area</v>
      </c>
      <c r="F221" s="1" t="str">
        <f t="shared" si="10"/>
        <v>NC</v>
      </c>
      <c r="G221" s="1" t="str">
        <f t="shared" si="11"/>
        <v>Review</v>
      </c>
    </row>
    <row r="222" spans="1:7" hidden="1" x14ac:dyDescent="0.35">
      <c r="A222" s="1" t="s">
        <v>623</v>
      </c>
      <c r="B222" s="1" t="s">
        <v>123</v>
      </c>
      <c r="C222" s="1" t="s">
        <v>1298</v>
      </c>
      <c r="D222" s="1" t="str">
        <f t="shared" si="9"/>
        <v>Florence</v>
      </c>
      <c r="E222" s="1" t="str">
        <f>IFERROR(INDEX(Census_Metro_List!$A:$A,MATCH(D222&amp;"*",Census_Metro_List!$A:$A,0)),"No Match")</f>
        <v>Florence, SC Metro Area</v>
      </c>
      <c r="F222" s="1" t="str">
        <f t="shared" si="10"/>
        <v>SC</v>
      </c>
      <c r="G222" s="1" t="str">
        <f t="shared" si="11"/>
        <v>Likely Match</v>
      </c>
    </row>
    <row r="223" spans="1:7" x14ac:dyDescent="0.35">
      <c r="A223" s="1" t="s">
        <v>624</v>
      </c>
      <c r="B223" s="1"/>
      <c r="C223" s="1" t="s">
        <v>1299</v>
      </c>
      <c r="D223" s="1" t="str">
        <f t="shared" si="9"/>
        <v>Hilo</v>
      </c>
      <c r="E223" s="1" t="str">
        <f>IFERROR(INDEX(Census_Metro_List!$A:$A,MATCH(D223&amp;"*",Census_Metro_List!$A:$A,0)),"No Match")</f>
        <v>No Match</v>
      </c>
      <c r="F223" s="1" t="str">
        <f t="shared" si="10"/>
        <v>HI</v>
      </c>
      <c r="G223" s="1" t="str">
        <f t="shared" si="11"/>
        <v>Review</v>
      </c>
    </row>
    <row r="224" spans="1:7" hidden="1" x14ac:dyDescent="0.35">
      <c r="A224" s="1" t="s">
        <v>625</v>
      </c>
      <c r="B224" s="1" t="s">
        <v>307</v>
      </c>
      <c r="C224" s="1" t="s">
        <v>1298</v>
      </c>
      <c r="D224" s="1" t="str">
        <f t="shared" si="9"/>
        <v>St. Cloud</v>
      </c>
      <c r="E224" s="1" t="str">
        <f>IFERROR(INDEX(Census_Metro_List!$A:$A,MATCH(D224&amp;"*",Census_Metro_List!$A:$A,0)),"No Match")</f>
        <v>St. Cloud, MN Metro Area</v>
      </c>
      <c r="F224" s="1" t="str">
        <f t="shared" si="10"/>
        <v>MN</v>
      </c>
      <c r="G224" s="1" t="str">
        <f t="shared" si="11"/>
        <v>Likely Match</v>
      </c>
    </row>
    <row r="225" spans="1:7" hidden="1" x14ac:dyDescent="0.35">
      <c r="A225" s="1" t="s">
        <v>626</v>
      </c>
      <c r="B225" s="1" t="s">
        <v>291</v>
      </c>
      <c r="C225" s="1" t="s">
        <v>1298</v>
      </c>
      <c r="D225" s="1" t="str">
        <f t="shared" si="9"/>
        <v>Racine</v>
      </c>
      <c r="E225" s="1" t="str">
        <f>IFERROR(INDEX(Census_Metro_List!$A:$A,MATCH(D225&amp;"*",Census_Metro_List!$A:$A,0)),"No Match")</f>
        <v>Racine-Mount Pleasant, WI Metro Area</v>
      </c>
      <c r="F225" s="1" t="str">
        <f t="shared" si="10"/>
        <v>WI</v>
      </c>
      <c r="G225" s="1" t="str">
        <f t="shared" si="11"/>
        <v>Likely Match</v>
      </c>
    </row>
    <row r="226" spans="1:7" hidden="1" x14ac:dyDescent="0.35">
      <c r="A226" s="1" t="s">
        <v>627</v>
      </c>
      <c r="B226" s="1" t="s">
        <v>38</v>
      </c>
      <c r="C226" s="1" t="s">
        <v>1298</v>
      </c>
      <c r="D226" s="1" t="str">
        <f t="shared" si="9"/>
        <v>Bend</v>
      </c>
      <c r="E226" s="1" t="str">
        <f>IFERROR(INDEX(Census_Metro_List!$A:$A,MATCH(D226&amp;"*",Census_Metro_List!$A:$A,0)),"No Match")</f>
        <v>Bend, OR Metro Area</v>
      </c>
      <c r="F226" s="1" t="str">
        <f t="shared" si="10"/>
        <v>OR</v>
      </c>
      <c r="G226" s="1" t="str">
        <f t="shared" si="11"/>
        <v>Likely Match</v>
      </c>
    </row>
    <row r="227" spans="1:7" hidden="1" x14ac:dyDescent="0.35">
      <c r="A227" s="1" t="s">
        <v>628</v>
      </c>
      <c r="B227" s="1" t="s">
        <v>306</v>
      </c>
      <c r="C227" s="1" t="s">
        <v>1298</v>
      </c>
      <c r="D227" s="1" t="str">
        <f t="shared" si="9"/>
        <v>Saginaw</v>
      </c>
      <c r="E227" s="1" t="str">
        <f>IFERROR(INDEX(Census_Metro_List!$A:$A,MATCH(D227&amp;"*",Census_Metro_List!$A:$A,0)),"No Match")</f>
        <v>Saginaw, MI Metro Area</v>
      </c>
      <c r="F227" s="1" t="str">
        <f t="shared" si="10"/>
        <v>MI</v>
      </c>
      <c r="G227" s="1" t="str">
        <f t="shared" si="11"/>
        <v>Likely Match</v>
      </c>
    </row>
    <row r="228" spans="1:7" hidden="1" x14ac:dyDescent="0.35">
      <c r="A228" s="1" t="s">
        <v>629</v>
      </c>
      <c r="B228" s="1" t="s">
        <v>374</v>
      </c>
      <c r="C228" s="1" t="s">
        <v>1298</v>
      </c>
      <c r="D228" s="1" t="str">
        <f t="shared" si="9"/>
        <v>Warner Robins</v>
      </c>
      <c r="E228" s="1" t="str">
        <f>IFERROR(INDEX(Census_Metro_List!$A:$A,MATCH(D228&amp;"*",Census_Metro_List!$A:$A,0)),"No Match")</f>
        <v>Warner Robins, GA Metro Area</v>
      </c>
      <c r="F228" s="1" t="str">
        <f t="shared" si="10"/>
        <v>GA</v>
      </c>
      <c r="G228" s="1" t="str">
        <f t="shared" si="11"/>
        <v>Likely Match</v>
      </c>
    </row>
    <row r="229" spans="1:7" hidden="1" x14ac:dyDescent="0.35">
      <c r="A229" s="1" t="s">
        <v>630</v>
      </c>
      <c r="B229" s="1" t="s">
        <v>353</v>
      </c>
      <c r="C229" s="1" t="s">
        <v>1298</v>
      </c>
      <c r="D229" s="1" t="str">
        <f t="shared" si="9"/>
        <v>Terre Haute</v>
      </c>
      <c r="E229" s="1" t="str">
        <f>IFERROR(INDEX(Census_Metro_List!$A:$A,MATCH(D229&amp;"*",Census_Metro_List!$A:$A,0)),"No Match")</f>
        <v>Terre Haute, IN Metro Area</v>
      </c>
      <c r="F229" s="1" t="str">
        <f t="shared" si="10"/>
        <v>IN</v>
      </c>
      <c r="G229" s="1" t="str">
        <f t="shared" si="11"/>
        <v>Likely Match</v>
      </c>
    </row>
    <row r="230" spans="1:7" x14ac:dyDescent="0.35">
      <c r="A230" s="1" t="s">
        <v>631</v>
      </c>
      <c r="B230" s="1"/>
      <c r="C230" s="1" t="s">
        <v>1299</v>
      </c>
      <c r="D230" s="1" t="str">
        <f t="shared" si="9"/>
        <v>Torrington</v>
      </c>
      <c r="E230" s="1" t="str">
        <f>IFERROR(INDEX(Census_Metro_List!$A:$A,MATCH(D230&amp;"*",Census_Metro_List!$A:$A,0)),"No Match")</f>
        <v>No Match</v>
      </c>
      <c r="F230" s="1" t="str">
        <f t="shared" si="10"/>
        <v>CT</v>
      </c>
      <c r="G230" s="1" t="str">
        <f t="shared" si="11"/>
        <v>Review</v>
      </c>
    </row>
    <row r="231" spans="1:7" hidden="1" x14ac:dyDescent="0.35">
      <c r="A231" s="1" t="s">
        <v>632</v>
      </c>
      <c r="B231" s="1" t="s">
        <v>290</v>
      </c>
      <c r="C231" s="1" t="s">
        <v>1298</v>
      </c>
      <c r="D231" s="1" t="str">
        <f t="shared" si="9"/>
        <v>Punta Gorda</v>
      </c>
      <c r="E231" s="1" t="str">
        <f>IFERROR(INDEX(Census_Metro_List!$A:$A,MATCH(D231&amp;"*",Census_Metro_List!$A:$A,0)),"No Match")</f>
        <v>Punta Gorda, FL Metro Area</v>
      </c>
      <c r="F231" s="1" t="str">
        <f t="shared" si="10"/>
        <v>FL</v>
      </c>
      <c r="G231" s="1" t="str">
        <f t="shared" si="11"/>
        <v>Likely Match</v>
      </c>
    </row>
    <row r="232" spans="1:7" hidden="1" x14ac:dyDescent="0.35">
      <c r="A232" s="1" t="s">
        <v>633</v>
      </c>
      <c r="B232" s="1" t="s">
        <v>39</v>
      </c>
      <c r="C232" s="1" t="s">
        <v>1298</v>
      </c>
      <c r="D232" s="1" t="str">
        <f t="shared" si="9"/>
        <v>Billings</v>
      </c>
      <c r="E232" s="1" t="str">
        <f>IFERROR(INDEX(Census_Metro_List!$A:$A,MATCH(D232&amp;"*",Census_Metro_List!$A:$A,0)),"No Match")</f>
        <v>Billings, MT Metro Area</v>
      </c>
      <c r="F232" s="1" t="str">
        <f t="shared" si="10"/>
        <v>MT</v>
      </c>
      <c r="G232" s="1" t="str">
        <f t="shared" si="11"/>
        <v>Likely Match</v>
      </c>
    </row>
    <row r="233" spans="1:7" hidden="1" x14ac:dyDescent="0.35">
      <c r="A233" s="1" t="s">
        <v>634</v>
      </c>
      <c r="B233" s="1" t="s">
        <v>295</v>
      </c>
      <c r="C233" s="1" t="s">
        <v>1298</v>
      </c>
      <c r="D233" s="1" t="str">
        <f t="shared" si="9"/>
        <v>Redding</v>
      </c>
      <c r="E233" s="1" t="str">
        <f>IFERROR(INDEX(Census_Metro_List!$A:$A,MATCH(D233&amp;"*",Census_Metro_List!$A:$A,0)),"No Match")</f>
        <v>Redding, CA Metro Area</v>
      </c>
      <c r="F233" s="1" t="str">
        <f t="shared" si="10"/>
        <v>CA</v>
      </c>
      <c r="G233" s="1" t="str">
        <f t="shared" si="11"/>
        <v>Likely Match</v>
      </c>
    </row>
    <row r="234" spans="1:7" hidden="1" x14ac:dyDescent="0.35">
      <c r="A234" s="1" t="s">
        <v>635</v>
      </c>
      <c r="B234" s="1" t="s">
        <v>189</v>
      </c>
      <c r="C234" s="1" t="s">
        <v>1298</v>
      </c>
      <c r="D234" s="1" t="str">
        <f t="shared" si="9"/>
        <v>Kingston</v>
      </c>
      <c r="E234" s="1" t="str">
        <f>IFERROR(INDEX(Census_Metro_List!$A:$A,MATCH(D234&amp;"*",Census_Metro_List!$A:$A,0)),"No Match")</f>
        <v>Kingston, NY Metro Area</v>
      </c>
      <c r="F234" s="1" t="str">
        <f t="shared" si="10"/>
        <v>NY</v>
      </c>
      <c r="G234" s="1" t="str">
        <f t="shared" si="11"/>
        <v>Likely Match</v>
      </c>
    </row>
    <row r="235" spans="1:7" hidden="1" x14ac:dyDescent="0.35">
      <c r="A235" s="1" t="s">
        <v>636</v>
      </c>
      <c r="B235" s="1" t="s">
        <v>272</v>
      </c>
      <c r="C235" s="1" t="s">
        <v>1298</v>
      </c>
      <c r="D235" s="1" t="str">
        <f t="shared" si="9"/>
        <v>Panama City</v>
      </c>
      <c r="E235" s="1" t="str">
        <f>IFERROR(INDEX(Census_Metro_List!$A:$A,MATCH(D235&amp;"*",Census_Metro_List!$A:$A,0)),"No Match")</f>
        <v>Panama City-Panama City Beach, FL Metro Area</v>
      </c>
      <c r="F235" s="1" t="str">
        <f t="shared" si="10"/>
        <v>FL</v>
      </c>
      <c r="G235" s="1" t="str">
        <f t="shared" si="11"/>
        <v>Likely Match</v>
      </c>
    </row>
    <row r="236" spans="1:7" hidden="1" x14ac:dyDescent="0.35">
      <c r="A236" s="1" t="s">
        <v>637</v>
      </c>
      <c r="B236" s="1" t="s">
        <v>180</v>
      </c>
      <c r="C236" s="1" t="s">
        <v>1298</v>
      </c>
      <c r="D236" s="1" t="str">
        <f t="shared" si="9"/>
        <v>Joplin</v>
      </c>
      <c r="E236" s="1" t="str">
        <f>IFERROR(INDEX(Census_Metro_List!$A:$A,MATCH(D236&amp;"*",Census_Metro_List!$A:$A,0)),"No Match")</f>
        <v>Joplin, MO-KS Metro Area</v>
      </c>
      <c r="F236" s="1" t="str">
        <f t="shared" si="10"/>
        <v>MO</v>
      </c>
      <c r="G236" s="1" t="str">
        <f t="shared" si="11"/>
        <v>Likely Match</v>
      </c>
    </row>
    <row r="237" spans="1:7" hidden="1" x14ac:dyDescent="0.35">
      <c r="A237" s="1" t="s">
        <v>638</v>
      </c>
      <c r="B237" s="1" t="s">
        <v>101</v>
      </c>
      <c r="C237" s="1" t="s">
        <v>1298</v>
      </c>
      <c r="D237" s="1" t="str">
        <f t="shared" si="9"/>
        <v>Dover</v>
      </c>
      <c r="E237" s="1" t="str">
        <f>IFERROR(INDEX(Census_Metro_List!$A:$A,MATCH(D237&amp;"*",Census_Metro_List!$A:$A,0)),"No Match")</f>
        <v>Dover, DE Metro Area</v>
      </c>
      <c r="F237" s="1" t="str">
        <f t="shared" si="10"/>
        <v>DE</v>
      </c>
      <c r="G237" s="1" t="str">
        <f t="shared" si="11"/>
        <v>Likely Match</v>
      </c>
    </row>
    <row r="238" spans="1:7" hidden="1" x14ac:dyDescent="0.35">
      <c r="A238" s="1" t="s">
        <v>639</v>
      </c>
      <c r="B238" s="1" t="s">
        <v>107</v>
      </c>
      <c r="C238" s="1" t="s">
        <v>1298</v>
      </c>
      <c r="D238" s="1" t="str">
        <f t="shared" si="9"/>
        <v>El Centro</v>
      </c>
      <c r="E238" s="1" t="str">
        <f>IFERROR(INDEX(Census_Metro_List!$A:$A,MATCH(D238&amp;"*",Census_Metro_List!$A:$A,0)),"No Match")</f>
        <v>El Centro, CA Metro Area</v>
      </c>
      <c r="F238" s="1" t="str">
        <f t="shared" si="10"/>
        <v>CA</v>
      </c>
      <c r="G238" s="1" t="str">
        <f t="shared" si="11"/>
        <v>Likely Match</v>
      </c>
    </row>
    <row r="239" spans="1:7" x14ac:dyDescent="0.35">
      <c r="A239" s="1" t="s">
        <v>640</v>
      </c>
      <c r="B239" s="1" t="s">
        <v>172</v>
      </c>
      <c r="C239" s="1" t="s">
        <v>1298</v>
      </c>
      <c r="D239" s="1" t="str">
        <f t="shared" si="9"/>
        <v>Jackson</v>
      </c>
      <c r="E239" s="1" t="str">
        <f>IFERROR(INDEX(Census_Metro_List!$A:$A,MATCH(D239&amp;"*",Census_Metro_List!$A:$A,0)),"No Match")</f>
        <v>Jackson, MI Metro Area</v>
      </c>
      <c r="F239" s="1" t="str">
        <f t="shared" si="10"/>
        <v>TN</v>
      </c>
      <c r="G239" s="1" t="str">
        <f t="shared" si="11"/>
        <v>Review</v>
      </c>
    </row>
    <row r="240" spans="1:7" hidden="1" x14ac:dyDescent="0.35">
      <c r="A240" s="1" t="s">
        <v>641</v>
      </c>
      <c r="B240" s="1" t="s">
        <v>394</v>
      </c>
      <c r="C240" s="1" t="s">
        <v>1298</v>
      </c>
      <c r="D240" s="1" t="str">
        <f t="shared" si="9"/>
        <v>Yuba City</v>
      </c>
      <c r="E240" s="1" t="str">
        <f>IFERROR(INDEX(Census_Metro_List!$A:$A,MATCH(D240&amp;"*",Census_Metro_List!$A:$A,0)),"No Match")</f>
        <v>Yuba City, CA Metro Area</v>
      </c>
      <c r="F240" s="1" t="str">
        <f t="shared" si="10"/>
        <v>CA</v>
      </c>
      <c r="G240" s="1" t="str">
        <f t="shared" si="11"/>
        <v>Likely Match</v>
      </c>
    </row>
    <row r="241" spans="1:7" hidden="1" x14ac:dyDescent="0.35">
      <c r="A241" s="1" t="s">
        <v>642</v>
      </c>
      <c r="B241" s="1" t="s">
        <v>49</v>
      </c>
      <c r="C241" s="1" t="s">
        <v>1298</v>
      </c>
      <c r="D241" s="1" t="str">
        <f t="shared" si="9"/>
        <v>Bowling Green</v>
      </c>
      <c r="E241" s="1" t="str">
        <f>IFERROR(INDEX(Census_Metro_List!$A:$A,MATCH(D241&amp;"*",Census_Metro_List!$A:$A,0)),"No Match")</f>
        <v>Bowling Green, KY Metro Area</v>
      </c>
      <c r="F241" s="1" t="str">
        <f t="shared" si="10"/>
        <v>KY</v>
      </c>
      <c r="G241" s="1" t="str">
        <f t="shared" si="11"/>
        <v>Likely Match</v>
      </c>
    </row>
    <row r="242" spans="1:7" hidden="1" x14ac:dyDescent="0.35">
      <c r="A242" s="1" t="s">
        <v>643</v>
      </c>
      <c r="B242" s="1" t="s">
        <v>308</v>
      </c>
      <c r="C242" s="1" t="s">
        <v>1298</v>
      </c>
      <c r="D242" s="1" t="str">
        <f t="shared" si="9"/>
        <v>St. George</v>
      </c>
      <c r="E242" s="1" t="str">
        <f>IFERROR(INDEX(Census_Metro_List!$A:$A,MATCH(D242&amp;"*",Census_Metro_List!$A:$A,0)),"No Match")</f>
        <v>St. George, UT Metro Area</v>
      </c>
      <c r="F242" s="1" t="str">
        <f t="shared" si="10"/>
        <v>UT</v>
      </c>
      <c r="G242" s="1" t="str">
        <f t="shared" si="11"/>
        <v>Likely Match</v>
      </c>
    </row>
    <row r="243" spans="1:7" hidden="1" x14ac:dyDescent="0.35">
      <c r="A243" s="1" t="s">
        <v>644</v>
      </c>
      <c r="B243" s="1" t="s">
        <v>249</v>
      </c>
      <c r="C243" s="1" t="s">
        <v>1298</v>
      </c>
      <c r="D243" s="1" t="str">
        <f t="shared" si="9"/>
        <v>Muskegon</v>
      </c>
      <c r="E243" s="1" t="str">
        <f>IFERROR(INDEX(Census_Metro_List!$A:$A,MATCH(D243&amp;"*",Census_Metro_List!$A:$A,0)),"No Match")</f>
        <v>Muskegon-Norton Shores, MI Metro Area</v>
      </c>
      <c r="F243" s="1" t="str">
        <f t="shared" si="10"/>
        <v>MI</v>
      </c>
      <c r="G243" s="1" t="str">
        <f t="shared" si="11"/>
        <v>Likely Match</v>
      </c>
    </row>
    <row r="244" spans="1:7" hidden="1" x14ac:dyDescent="0.35">
      <c r="A244" s="1" t="s">
        <v>645</v>
      </c>
      <c r="B244" s="1" t="s">
        <v>3</v>
      </c>
      <c r="C244" s="1" t="s">
        <v>1298</v>
      </c>
      <c r="D244" s="1" t="str">
        <f t="shared" si="9"/>
        <v>Abilene</v>
      </c>
      <c r="E244" s="1" t="str">
        <f>IFERROR(INDEX(Census_Metro_List!$A:$A,MATCH(D244&amp;"*",Census_Metro_List!$A:$A,0)),"No Match")</f>
        <v>Abilene, TX Metro Area</v>
      </c>
      <c r="F244" s="1" t="str">
        <f t="shared" si="10"/>
        <v>TX</v>
      </c>
      <c r="G244" s="1" t="str">
        <f t="shared" si="11"/>
        <v>Likely Match</v>
      </c>
    </row>
    <row r="245" spans="1:7" hidden="1" x14ac:dyDescent="0.35">
      <c r="A245" s="1" t="s">
        <v>646</v>
      </c>
      <c r="B245" s="1" t="s">
        <v>168</v>
      </c>
      <c r="C245" s="1" t="s">
        <v>1298</v>
      </c>
      <c r="D245" s="1" t="str">
        <f t="shared" si="9"/>
        <v>Iowa City</v>
      </c>
      <c r="E245" s="1" t="str">
        <f>IFERROR(INDEX(Census_Metro_List!$A:$A,MATCH(D245&amp;"*",Census_Metro_List!$A:$A,0)),"No Match")</f>
        <v>Iowa City, IA Metro Area</v>
      </c>
      <c r="F245" s="1" t="str">
        <f t="shared" si="10"/>
        <v>IA</v>
      </c>
      <c r="G245" s="1" t="str">
        <f t="shared" si="11"/>
        <v>Likely Match</v>
      </c>
    </row>
    <row r="246" spans="1:7" hidden="1" x14ac:dyDescent="0.35">
      <c r="A246" s="1" t="s">
        <v>647</v>
      </c>
      <c r="B246" s="1" t="s">
        <v>25</v>
      </c>
      <c r="C246" s="1" t="s">
        <v>1298</v>
      </c>
      <c r="D246" s="1" t="str">
        <f t="shared" si="9"/>
        <v>Auburn</v>
      </c>
      <c r="E246" s="1" t="str">
        <f>IFERROR(INDEX(Census_Metro_List!$A:$A,MATCH(D246&amp;"*",Census_Metro_List!$A:$A,0)),"No Match")</f>
        <v>Auburn-Opelika, AL Metro Area</v>
      </c>
      <c r="F246" s="1" t="str">
        <f t="shared" si="10"/>
        <v>AL</v>
      </c>
      <c r="G246" s="1" t="str">
        <f t="shared" si="11"/>
        <v>Likely Match</v>
      </c>
    </row>
    <row r="247" spans="1:7" x14ac:dyDescent="0.35">
      <c r="A247" s="1" t="s">
        <v>648</v>
      </c>
      <c r="B247" s="1" t="s">
        <v>235</v>
      </c>
      <c r="C247" s="1" t="s">
        <v>1298</v>
      </c>
      <c r="D247" s="1" t="str">
        <f t="shared" si="9"/>
        <v>Midland</v>
      </c>
      <c r="E247" s="1" t="str">
        <f>IFERROR(INDEX(Census_Metro_List!$A:$A,MATCH(D247&amp;"*",Census_Metro_List!$A:$A,0)),"No Match")</f>
        <v>Midland, MI Metro Area</v>
      </c>
      <c r="F247" s="1" t="str">
        <f t="shared" si="10"/>
        <v>TX</v>
      </c>
      <c r="G247" s="1" t="str">
        <f t="shared" si="11"/>
        <v>Review</v>
      </c>
    </row>
    <row r="248" spans="1:7" hidden="1" x14ac:dyDescent="0.35">
      <c r="A248" s="1" t="s">
        <v>649</v>
      </c>
      <c r="B248" s="1" t="s">
        <v>44</v>
      </c>
      <c r="C248" s="1" t="s">
        <v>1298</v>
      </c>
      <c r="D248" s="1" t="str">
        <f t="shared" si="9"/>
        <v>Bloomington</v>
      </c>
      <c r="E248" s="1" t="str">
        <f>IFERROR(INDEX(Census_Metro_List!$A:$A,MATCH(D248&amp;"*",Census_Metro_List!$A:$A,0)),"No Match")</f>
        <v>Bloomington, IL Metro Area</v>
      </c>
      <c r="F248" s="1" t="str">
        <f t="shared" si="10"/>
        <v>IL</v>
      </c>
      <c r="G248" s="1" t="str">
        <f t="shared" si="11"/>
        <v>Likely Match</v>
      </c>
    </row>
    <row r="249" spans="1:7" hidden="1" x14ac:dyDescent="0.35">
      <c r="A249" s="1" t="s">
        <v>650</v>
      </c>
      <c r="B249" s="1" t="s">
        <v>155</v>
      </c>
      <c r="C249" s="1" t="s">
        <v>1298</v>
      </c>
      <c r="D249" s="1" t="str">
        <f t="shared" si="9"/>
        <v>Hattiesburg</v>
      </c>
      <c r="E249" s="1" t="str">
        <f>IFERROR(INDEX(Census_Metro_List!$A:$A,MATCH(D249&amp;"*",Census_Metro_List!$A:$A,0)),"No Match")</f>
        <v>Hattiesburg, MS Metro Area</v>
      </c>
      <c r="F249" s="1" t="str">
        <f t="shared" si="10"/>
        <v>MS</v>
      </c>
      <c r="G249" s="1" t="str">
        <f t="shared" si="11"/>
        <v>Likely Match</v>
      </c>
    </row>
    <row r="250" spans="1:7" hidden="1" x14ac:dyDescent="0.35">
      <c r="A250" s="1" t="s">
        <v>651</v>
      </c>
      <c r="B250" s="1" t="s">
        <v>267</v>
      </c>
      <c r="C250" s="1" t="s">
        <v>1298</v>
      </c>
      <c r="D250" s="1" t="str">
        <f t="shared" si="9"/>
        <v>Oshkosh</v>
      </c>
      <c r="E250" s="1" t="str">
        <f>IFERROR(INDEX(Census_Metro_List!$A:$A,MATCH(D250&amp;"*",Census_Metro_List!$A:$A,0)),"No Match")</f>
        <v>Oshkosh-Neenah, WI Metro Area</v>
      </c>
      <c r="F250" s="1" t="str">
        <f t="shared" si="10"/>
        <v>WI</v>
      </c>
      <c r="G250" s="1" t="str">
        <f t="shared" si="11"/>
        <v>Likely Match</v>
      </c>
    </row>
    <row r="251" spans="1:7" hidden="1" x14ac:dyDescent="0.35">
      <c r="A251" s="1" t="s">
        <v>652</v>
      </c>
      <c r="B251" s="1" t="s">
        <v>106</v>
      </c>
      <c r="C251" s="1" t="s">
        <v>1298</v>
      </c>
      <c r="D251" s="1" t="str">
        <f t="shared" si="9"/>
        <v>Eau Claire</v>
      </c>
      <c r="E251" s="1" t="str">
        <f>IFERROR(INDEX(Census_Metro_List!$A:$A,MATCH(D251&amp;"*",Census_Metro_List!$A:$A,0)),"No Match")</f>
        <v>Eau Claire, WI Metro Area</v>
      </c>
      <c r="F251" s="1" t="str">
        <f t="shared" si="10"/>
        <v>WI</v>
      </c>
      <c r="G251" s="1" t="str">
        <f t="shared" si="11"/>
        <v>Likely Match</v>
      </c>
    </row>
    <row r="252" spans="1:7" hidden="1" x14ac:dyDescent="0.35">
      <c r="A252" s="1" t="s">
        <v>653</v>
      </c>
      <c r="B252" s="1" t="s">
        <v>145</v>
      </c>
      <c r="C252" s="1" t="s">
        <v>1298</v>
      </c>
      <c r="D252" s="1" t="str">
        <f t="shared" si="9"/>
        <v>Greenville</v>
      </c>
      <c r="E252" s="1" t="str">
        <f>IFERROR(INDEX(Census_Metro_List!$A:$A,MATCH(D252&amp;"*",Census_Metro_List!$A:$A,0)),"No Match")</f>
        <v>Greenville, NC Metro Area</v>
      </c>
      <c r="F252" s="1" t="str">
        <f t="shared" si="10"/>
        <v>NC</v>
      </c>
      <c r="G252" s="1" t="str">
        <f t="shared" si="11"/>
        <v>Likely Match</v>
      </c>
    </row>
    <row r="253" spans="1:7" hidden="1" x14ac:dyDescent="0.35">
      <c r="A253" s="1" t="s">
        <v>654</v>
      </c>
      <c r="B253" s="1" t="s">
        <v>56</v>
      </c>
      <c r="C253" s="1" t="s">
        <v>1298</v>
      </c>
      <c r="D253" s="1" t="str">
        <f t="shared" si="9"/>
        <v>Burlington</v>
      </c>
      <c r="E253" s="1" t="str">
        <f>IFERROR(INDEX(Census_Metro_List!$A:$A,MATCH(D253&amp;"*",Census_Metro_List!$A:$A,0)),"No Match")</f>
        <v>Burlington, NC Metro Area</v>
      </c>
      <c r="F253" s="1" t="str">
        <f t="shared" si="10"/>
        <v>NC</v>
      </c>
      <c r="G253" s="1" t="str">
        <f t="shared" si="11"/>
        <v>Likely Match</v>
      </c>
    </row>
    <row r="254" spans="1:7" hidden="1" x14ac:dyDescent="0.35">
      <c r="A254" s="1" t="s">
        <v>655</v>
      </c>
      <c r="B254" s="1" t="s">
        <v>377</v>
      </c>
      <c r="C254" s="1" t="s">
        <v>1298</v>
      </c>
      <c r="D254" s="1" t="str">
        <f t="shared" si="9"/>
        <v>Waterloo</v>
      </c>
      <c r="E254" s="1" t="str">
        <f>IFERROR(INDEX(Census_Metro_List!$A:$A,MATCH(D254&amp;"*",Census_Metro_List!$A:$A,0)),"No Match")</f>
        <v>Waterloo-Cedar Falls, IA Metro Area</v>
      </c>
      <c r="F254" s="1" t="str">
        <f t="shared" si="10"/>
        <v>IA</v>
      </c>
      <c r="G254" s="1" t="str">
        <f t="shared" si="11"/>
        <v>Likely Match</v>
      </c>
    </row>
    <row r="255" spans="1:7" hidden="1" x14ac:dyDescent="0.35">
      <c r="A255" s="1" t="s">
        <v>656</v>
      </c>
      <c r="B255" s="1" t="s">
        <v>78</v>
      </c>
      <c r="C255" s="1" t="s">
        <v>1298</v>
      </c>
      <c r="D255" s="1" t="str">
        <f t="shared" si="9"/>
        <v>Coeur d'Alene</v>
      </c>
      <c r="E255" s="1" t="str">
        <f>IFERROR(INDEX(Census_Metro_List!$A:$A,MATCH(D255&amp;"*",Census_Metro_List!$A:$A,0)),"No Match")</f>
        <v>Coeur d'Alene, ID Metro Area</v>
      </c>
      <c r="F255" s="1" t="str">
        <f t="shared" si="10"/>
        <v>ID</v>
      </c>
      <c r="G255" s="1" t="str">
        <f t="shared" si="11"/>
        <v>Likely Match</v>
      </c>
    </row>
    <row r="256" spans="1:7" x14ac:dyDescent="0.35">
      <c r="A256" s="1" t="s">
        <v>657</v>
      </c>
      <c r="B256" s="1"/>
      <c r="C256" s="1" t="s">
        <v>1299</v>
      </c>
      <c r="D256" s="1" t="str">
        <f t="shared" si="9"/>
        <v>East Stroudsburg</v>
      </c>
      <c r="E256" s="1" t="str">
        <f>IFERROR(INDEX(Census_Metro_List!$A:$A,MATCH(D256&amp;"*",Census_Metro_List!$A:$A,0)),"No Match")</f>
        <v>No Match</v>
      </c>
      <c r="F256" s="1" t="str">
        <f t="shared" si="10"/>
        <v>PA</v>
      </c>
      <c r="G256" s="1" t="str">
        <f t="shared" si="11"/>
        <v>Review</v>
      </c>
    </row>
    <row r="257" spans="1:7" hidden="1" x14ac:dyDescent="0.35">
      <c r="A257" s="1" t="s">
        <v>658</v>
      </c>
      <c r="B257" s="1" t="s">
        <v>289</v>
      </c>
      <c r="C257" s="1" t="s">
        <v>1298</v>
      </c>
      <c r="D257" s="1" t="str">
        <f t="shared" si="9"/>
        <v>Pueblo</v>
      </c>
      <c r="E257" s="1" t="str">
        <f>IFERROR(INDEX(Census_Metro_List!$A:$A,MATCH(D257&amp;"*",Census_Metro_List!$A:$A,0)),"No Match")</f>
        <v>Pueblo, CO Metro Area</v>
      </c>
      <c r="F257" s="1" t="str">
        <f t="shared" si="10"/>
        <v>CO</v>
      </c>
      <c r="G257" s="1" t="str">
        <f t="shared" si="11"/>
        <v>Likely Match</v>
      </c>
    </row>
    <row r="258" spans="1:7" hidden="1" x14ac:dyDescent="0.35">
      <c r="A258" s="1" t="s">
        <v>659</v>
      </c>
      <c r="B258" s="1" t="s">
        <v>43</v>
      </c>
      <c r="C258" s="1" t="s">
        <v>1298</v>
      </c>
      <c r="D258" s="1" t="str">
        <f t="shared" ref="D258:D321" si="12">LEFT(A258,FIND(",",A258)-1)</f>
        <v>Blacksburg</v>
      </c>
      <c r="E258" s="1" t="str">
        <f>IFERROR(INDEX(Census_Metro_List!$A:$A,MATCH(D258&amp;"*",Census_Metro_List!$A:$A,0)),"No Match")</f>
        <v>Blacksburg-Christiansburg-Radford, VA Metro Area</v>
      </c>
      <c r="F258" s="1" t="str">
        <f t="shared" ref="F258:F321" si="13">TRIM(RIGHT(A258,LEN(A258)-FIND(",",A258)))</f>
        <v>VA</v>
      </c>
      <c r="G258" s="1" t="str">
        <f t="shared" ref="G258:G321" si="14">IF(E258="No Match","Review",IF(ISNUMBER(SEARCH(F258,E258)),"Likely Match","Review"))</f>
        <v>Likely Match</v>
      </c>
    </row>
    <row r="259" spans="1:7" hidden="1" x14ac:dyDescent="0.35">
      <c r="A259" s="1" t="s">
        <v>660</v>
      </c>
      <c r="B259" s="1" t="s">
        <v>379</v>
      </c>
      <c r="C259" s="1" t="s">
        <v>1298</v>
      </c>
      <c r="D259" s="1" t="str">
        <f t="shared" si="12"/>
        <v>Wausau</v>
      </c>
      <c r="E259" s="1" t="str">
        <f>IFERROR(INDEX(Census_Metro_List!$A:$A,MATCH(D259&amp;"*",Census_Metro_List!$A:$A,0)),"No Match")</f>
        <v>Wausau, WI Metro Area</v>
      </c>
      <c r="F259" s="1" t="str">
        <f t="shared" si="13"/>
        <v>WI</v>
      </c>
      <c r="G259" s="1" t="str">
        <f t="shared" si="14"/>
        <v>Likely Match</v>
      </c>
    </row>
    <row r="260" spans="1:7" hidden="1" x14ac:dyDescent="0.35">
      <c r="A260" s="1" t="s">
        <v>661</v>
      </c>
      <c r="B260" s="1" t="s">
        <v>181</v>
      </c>
      <c r="C260" s="1" t="s">
        <v>1298</v>
      </c>
      <c r="D260" s="1" t="str">
        <f t="shared" si="12"/>
        <v>Kahului</v>
      </c>
      <c r="E260" s="1" t="str">
        <f>IFERROR(INDEX(Census_Metro_List!$A:$A,MATCH(D260&amp;"*",Census_Metro_List!$A:$A,0)),"No Match")</f>
        <v>Kahului-Wailuku, HI Metro Area</v>
      </c>
      <c r="F260" s="1" t="str">
        <f t="shared" si="13"/>
        <v>HI</v>
      </c>
      <c r="G260" s="1" t="str">
        <f t="shared" si="14"/>
        <v>Likely Match</v>
      </c>
    </row>
    <row r="261" spans="1:7" hidden="1" x14ac:dyDescent="0.35">
      <c r="A261" s="1" t="s">
        <v>662</v>
      </c>
      <c r="B261" s="1" t="s">
        <v>175</v>
      </c>
      <c r="C261" s="1" t="s">
        <v>1298</v>
      </c>
      <c r="D261" s="1" t="str">
        <f t="shared" si="12"/>
        <v>Janesville</v>
      </c>
      <c r="E261" s="1" t="str">
        <f>IFERROR(INDEX(Census_Metro_List!$A:$A,MATCH(D261&amp;"*",Census_Metro_List!$A:$A,0)),"No Match")</f>
        <v>Janesville-Beloit, WI Metro Area</v>
      </c>
      <c r="F261" s="1" t="str">
        <f t="shared" si="13"/>
        <v>WI</v>
      </c>
      <c r="G261" s="1" t="str">
        <f t="shared" si="14"/>
        <v>Likely Match</v>
      </c>
    </row>
    <row r="262" spans="1:7" x14ac:dyDescent="0.35">
      <c r="A262" s="1" t="s">
        <v>663</v>
      </c>
      <c r="B262" s="1"/>
      <c r="C262" s="1" t="s">
        <v>1299</v>
      </c>
      <c r="D262" s="1" t="str">
        <f t="shared" si="12"/>
        <v>Tupelo</v>
      </c>
      <c r="E262" s="1" t="str">
        <f>IFERROR(INDEX(Census_Metro_List!$A:$A,MATCH(D262&amp;"*",Census_Metro_List!$A:$A,0)),"No Match")</f>
        <v>No Match</v>
      </c>
      <c r="F262" s="1" t="str">
        <f t="shared" si="13"/>
        <v>MS</v>
      </c>
      <c r="G262" s="1" t="str">
        <f t="shared" si="14"/>
        <v>Review</v>
      </c>
    </row>
    <row r="263" spans="1:7" hidden="1" x14ac:dyDescent="0.35">
      <c r="A263" s="1" t="s">
        <v>664</v>
      </c>
      <c r="B263" s="1" t="s">
        <v>45</v>
      </c>
      <c r="C263" s="1" t="s">
        <v>1298</v>
      </c>
      <c r="D263" s="1" t="str">
        <f t="shared" si="12"/>
        <v>Bloomington</v>
      </c>
      <c r="E263" s="1" t="str">
        <f>IFERROR(INDEX(Census_Metro_List!$A:$A,MATCH(D263&amp;"*",Census_Metro_List!$A:$A,0)),"No Match")</f>
        <v>Bloomington, IL Metro Area</v>
      </c>
      <c r="F263" s="1" t="str">
        <f t="shared" si="13"/>
        <v>IN</v>
      </c>
      <c r="G263" s="1" t="str">
        <f t="shared" si="14"/>
        <v>Likely Match</v>
      </c>
    </row>
    <row r="264" spans="1:7" hidden="1" x14ac:dyDescent="0.35">
      <c r="A264" s="1" t="s">
        <v>665</v>
      </c>
      <c r="B264" s="1" t="s">
        <v>261</v>
      </c>
      <c r="C264" s="1" t="s">
        <v>1298</v>
      </c>
      <c r="D264" s="1" t="str">
        <f t="shared" si="12"/>
        <v>Odessa</v>
      </c>
      <c r="E264" s="1" t="str">
        <f>IFERROR(INDEX(Census_Metro_List!$A:$A,MATCH(D264&amp;"*",Census_Metro_List!$A:$A,0)),"No Match")</f>
        <v>Odessa, TX Metro Area</v>
      </c>
      <c r="F264" s="1" t="str">
        <f t="shared" si="13"/>
        <v>TX</v>
      </c>
      <c r="G264" s="1" t="str">
        <f t="shared" si="14"/>
        <v>Likely Match</v>
      </c>
    </row>
    <row r="265" spans="1:7" hidden="1" x14ac:dyDescent="0.35">
      <c r="A265" s="1" t="s">
        <v>666</v>
      </c>
      <c r="B265" s="1" t="s">
        <v>170</v>
      </c>
      <c r="C265" s="1" t="s">
        <v>1298</v>
      </c>
      <c r="D265" s="1" t="str">
        <f t="shared" si="12"/>
        <v>Jackson</v>
      </c>
      <c r="E265" s="1" t="str">
        <f>IFERROR(INDEX(Census_Metro_List!$A:$A,MATCH(D265&amp;"*",Census_Metro_List!$A:$A,0)),"No Match")</f>
        <v>Jackson, MI Metro Area</v>
      </c>
      <c r="F265" s="1" t="str">
        <f t="shared" si="13"/>
        <v>MI</v>
      </c>
      <c r="G265" s="1" t="str">
        <f t="shared" si="14"/>
        <v>Likely Match</v>
      </c>
    </row>
    <row r="266" spans="1:7" hidden="1" x14ac:dyDescent="0.35">
      <c r="A266" s="1" t="s">
        <v>667</v>
      </c>
      <c r="B266" s="1" t="s">
        <v>346</v>
      </c>
      <c r="C266" s="1" t="s">
        <v>1298</v>
      </c>
      <c r="D266" s="1" t="str">
        <f t="shared" si="12"/>
        <v>State College</v>
      </c>
      <c r="E266" s="1" t="str">
        <f>IFERROR(INDEX(Census_Metro_List!$A:$A,MATCH(D266&amp;"*",Census_Metro_List!$A:$A,0)),"No Match")</f>
        <v>State College, PA Metro Area</v>
      </c>
      <c r="F266" s="1" t="str">
        <f t="shared" si="13"/>
        <v>PA</v>
      </c>
      <c r="G266" s="1" t="str">
        <f t="shared" si="14"/>
        <v>Likely Match</v>
      </c>
    </row>
    <row r="267" spans="1:7" hidden="1" x14ac:dyDescent="0.35">
      <c r="A267" s="1" t="s">
        <v>668</v>
      </c>
      <c r="B267" s="1" t="s">
        <v>330</v>
      </c>
      <c r="C267" s="1" t="s">
        <v>1298</v>
      </c>
      <c r="D267" s="1" t="str">
        <f t="shared" si="12"/>
        <v>Sebastian</v>
      </c>
      <c r="E267" s="1" t="str">
        <f>IFERROR(INDEX(Census_Metro_List!$A:$A,MATCH(D267&amp;"*",Census_Metro_List!$A:$A,0)),"No Match")</f>
        <v>Sebastian-Vero Beach-West Vero Corridor, FL Metro Area</v>
      </c>
      <c r="F267" s="1" t="str">
        <f t="shared" si="13"/>
        <v>FL</v>
      </c>
      <c r="G267" s="1" t="str">
        <f t="shared" si="14"/>
        <v>Likely Match</v>
      </c>
    </row>
    <row r="268" spans="1:7" x14ac:dyDescent="0.35">
      <c r="A268" s="1" t="s">
        <v>669</v>
      </c>
      <c r="B268" s="1"/>
      <c r="C268" s="1" t="s">
        <v>1299</v>
      </c>
      <c r="D268" s="1" t="str">
        <f t="shared" si="12"/>
        <v>Madera</v>
      </c>
      <c r="E268" s="1" t="str">
        <f>IFERROR(INDEX(Census_Metro_List!$A:$A,MATCH(D268&amp;"*",Census_Metro_List!$A:$A,0)),"No Match")</f>
        <v>No Match</v>
      </c>
      <c r="F268" s="1" t="str">
        <f t="shared" si="13"/>
        <v>CA</v>
      </c>
      <c r="G268" s="1" t="str">
        <f t="shared" si="14"/>
        <v>Review</v>
      </c>
    </row>
    <row r="269" spans="1:7" hidden="1" x14ac:dyDescent="0.35">
      <c r="A269" s="1" t="s">
        <v>670</v>
      </c>
      <c r="B269" s="1" t="s">
        <v>94</v>
      </c>
      <c r="C269" s="1" t="s">
        <v>1298</v>
      </c>
      <c r="D269" s="1" t="str">
        <f t="shared" si="12"/>
        <v>Decatur</v>
      </c>
      <c r="E269" s="1" t="str">
        <f>IFERROR(INDEX(Census_Metro_List!$A:$A,MATCH(D269&amp;"*",Census_Metro_List!$A:$A,0)),"No Match")</f>
        <v>Decatur, AL Metro Area</v>
      </c>
      <c r="F269" s="1" t="str">
        <f t="shared" si="13"/>
        <v>AL</v>
      </c>
      <c r="G269" s="1" t="str">
        <f t="shared" si="14"/>
        <v>Likely Match</v>
      </c>
    </row>
    <row r="270" spans="1:7" hidden="1" x14ac:dyDescent="0.35">
      <c r="A270" s="1" t="s">
        <v>671</v>
      </c>
      <c r="B270" s="1" t="s">
        <v>64</v>
      </c>
      <c r="C270" s="1" t="s">
        <v>1298</v>
      </c>
      <c r="D270" s="1" t="str">
        <f t="shared" si="12"/>
        <v>Chambersburg</v>
      </c>
      <c r="E270" s="1" t="str">
        <f>IFERROR(INDEX(Census_Metro_List!$A:$A,MATCH(D270&amp;"*",Census_Metro_List!$A:$A,0)),"No Match")</f>
        <v>Chambersburg, PA Metro Area</v>
      </c>
      <c r="F270" s="1" t="str">
        <f t="shared" si="13"/>
        <v>PA</v>
      </c>
      <c r="G270" s="1" t="str">
        <f t="shared" si="14"/>
        <v>Likely Match</v>
      </c>
    </row>
    <row r="271" spans="1:7" hidden="1" x14ac:dyDescent="0.35">
      <c r="A271" s="1" t="s">
        <v>672</v>
      </c>
      <c r="B271" s="1" t="s">
        <v>369</v>
      </c>
      <c r="C271" s="1" t="s">
        <v>1298</v>
      </c>
      <c r="D271" s="1" t="str">
        <f t="shared" si="12"/>
        <v>Vineland</v>
      </c>
      <c r="E271" s="1" t="str">
        <f>IFERROR(INDEX(Census_Metro_List!$A:$A,MATCH(D271&amp;"*",Census_Metro_List!$A:$A,0)),"No Match")</f>
        <v>Vineland, NJ Metro Area</v>
      </c>
      <c r="F271" s="1" t="str">
        <f t="shared" si="13"/>
        <v>NJ</v>
      </c>
      <c r="G271" s="1" t="str">
        <f t="shared" si="14"/>
        <v>Likely Match</v>
      </c>
    </row>
    <row r="272" spans="1:7" hidden="1" x14ac:dyDescent="0.35">
      <c r="A272" s="1" t="s">
        <v>673</v>
      </c>
      <c r="B272" s="1" t="s">
        <v>166</v>
      </c>
      <c r="C272" s="1" t="s">
        <v>1298</v>
      </c>
      <c r="D272" s="1" t="str">
        <f t="shared" si="12"/>
        <v>Idaho Falls</v>
      </c>
      <c r="E272" s="1" t="str">
        <f>IFERROR(INDEX(Census_Metro_List!$A:$A,MATCH(D272&amp;"*",Census_Metro_List!$A:$A,0)),"No Match")</f>
        <v>Idaho Falls, ID Metro Area</v>
      </c>
      <c r="F272" s="1" t="str">
        <f t="shared" si="13"/>
        <v>ID</v>
      </c>
      <c r="G272" s="1" t="str">
        <f t="shared" si="14"/>
        <v>Likely Match</v>
      </c>
    </row>
    <row r="273" spans="1:7" hidden="1" x14ac:dyDescent="0.35">
      <c r="A273" s="1" t="s">
        <v>674</v>
      </c>
      <c r="B273" s="1" t="s">
        <v>138</v>
      </c>
      <c r="C273" s="1" t="s">
        <v>1298</v>
      </c>
      <c r="D273" s="1" t="str">
        <f t="shared" si="12"/>
        <v>Grand Junction</v>
      </c>
      <c r="E273" s="1" t="str">
        <f>IFERROR(INDEX(Census_Metro_List!$A:$A,MATCH(D273&amp;"*",Census_Metro_List!$A:$A,0)),"No Match")</f>
        <v>Grand Junction, CO Metro Area</v>
      </c>
      <c r="F273" s="1" t="str">
        <f t="shared" si="13"/>
        <v>CO</v>
      </c>
      <c r="G273" s="1" t="str">
        <f t="shared" si="14"/>
        <v>Likely Match</v>
      </c>
    </row>
    <row r="274" spans="1:7" hidden="1" x14ac:dyDescent="0.35">
      <c r="A274" s="1" t="s">
        <v>675</v>
      </c>
      <c r="B274" s="1" t="s">
        <v>108</v>
      </c>
      <c r="C274" s="1" t="s">
        <v>1298</v>
      </c>
      <c r="D274" s="1" t="str">
        <f t="shared" si="12"/>
        <v>Elizabethtown</v>
      </c>
      <c r="E274" s="1" t="str">
        <f>IFERROR(INDEX(Census_Metro_List!$A:$A,MATCH(D274&amp;"*",Census_Metro_List!$A:$A,0)),"No Match")</f>
        <v>Elizabethtown, KY Metro Area</v>
      </c>
      <c r="F274" s="1" t="str">
        <f t="shared" si="13"/>
        <v>KY</v>
      </c>
      <c r="G274" s="1" t="str">
        <f t="shared" si="14"/>
        <v>Likely Match</v>
      </c>
    </row>
    <row r="275" spans="1:7" hidden="1" x14ac:dyDescent="0.35">
      <c r="A275" s="1" t="s">
        <v>676</v>
      </c>
      <c r="B275" s="1" t="s">
        <v>257</v>
      </c>
      <c r="C275" s="1" t="s">
        <v>1298</v>
      </c>
      <c r="D275" s="1" t="str">
        <f t="shared" si="12"/>
        <v>Niles</v>
      </c>
      <c r="E275" s="1" t="str">
        <f>IFERROR(INDEX(Census_Metro_List!$A:$A,MATCH(D275&amp;"*",Census_Metro_List!$A:$A,0)),"No Match")</f>
        <v>Niles, MI Metro Area</v>
      </c>
      <c r="F275" s="1" t="str">
        <f t="shared" si="13"/>
        <v>MI</v>
      </c>
      <c r="G275" s="1" t="str">
        <f t="shared" si="14"/>
        <v>Likely Match</v>
      </c>
    </row>
    <row r="276" spans="1:7" x14ac:dyDescent="0.35">
      <c r="A276" s="1" t="s">
        <v>677</v>
      </c>
      <c r="B276" s="1" t="s">
        <v>243</v>
      </c>
      <c r="C276" s="1" t="s">
        <v>1298</v>
      </c>
      <c r="D276" s="1" t="str">
        <f t="shared" si="12"/>
        <v>Monroe</v>
      </c>
      <c r="E276" s="1" t="str">
        <f>IFERROR(INDEX(Census_Metro_List!$A:$A,MATCH(D276&amp;"*",Census_Metro_List!$A:$A,0)),"No Match")</f>
        <v>Monroe, LA Metro Area</v>
      </c>
      <c r="F276" s="1" t="str">
        <f t="shared" si="13"/>
        <v>MI</v>
      </c>
      <c r="G276" s="1" t="str">
        <f t="shared" si="14"/>
        <v>Review</v>
      </c>
    </row>
    <row r="277" spans="1:7" hidden="1" x14ac:dyDescent="0.35">
      <c r="A277" s="1" t="s">
        <v>678</v>
      </c>
      <c r="B277" s="1" t="s">
        <v>324</v>
      </c>
      <c r="C277" s="1" t="s">
        <v>1298</v>
      </c>
      <c r="D277" s="1" t="str">
        <f t="shared" si="12"/>
        <v>Santa Fe</v>
      </c>
      <c r="E277" s="1" t="str">
        <f>IFERROR(INDEX(Census_Metro_List!$A:$A,MATCH(D277&amp;"*",Census_Metro_List!$A:$A,0)),"No Match")</f>
        <v>Santa Fe, NM Metro Area</v>
      </c>
      <c r="F277" s="1" t="str">
        <f t="shared" si="13"/>
        <v>NM</v>
      </c>
      <c r="G277" s="1" t="str">
        <f t="shared" si="14"/>
        <v>Likely Match</v>
      </c>
    </row>
    <row r="278" spans="1:7" x14ac:dyDescent="0.35">
      <c r="A278" s="1" t="s">
        <v>679</v>
      </c>
      <c r="B278" s="1"/>
      <c r="C278" s="1" t="s">
        <v>1299</v>
      </c>
      <c r="D278" s="1" t="str">
        <f t="shared" si="12"/>
        <v>Concord</v>
      </c>
      <c r="E278" s="1" t="str">
        <f>IFERROR(INDEX(Census_Metro_List!$A:$A,MATCH(D278&amp;"*",Census_Metro_List!$A:$A,0)),"No Match")</f>
        <v>No Match</v>
      </c>
      <c r="F278" s="1" t="str">
        <f t="shared" si="13"/>
        <v>NH</v>
      </c>
      <c r="G278" s="1" t="str">
        <f t="shared" si="14"/>
        <v>Review</v>
      </c>
    </row>
    <row r="279" spans="1:7" hidden="1" x14ac:dyDescent="0.35">
      <c r="A279" s="1" t="s">
        <v>680</v>
      </c>
      <c r="B279" s="1" t="s">
        <v>10</v>
      </c>
      <c r="C279" s="1" t="s">
        <v>1298</v>
      </c>
      <c r="D279" s="1" t="str">
        <f t="shared" si="12"/>
        <v>Alexandria</v>
      </c>
      <c r="E279" s="1" t="str">
        <f>IFERROR(INDEX(Census_Metro_List!$A:$A,MATCH(D279&amp;"*",Census_Metro_List!$A:$A,0)),"No Match")</f>
        <v>Alexandria, LA Metro Area</v>
      </c>
      <c r="F279" s="1" t="str">
        <f t="shared" si="13"/>
        <v>LA</v>
      </c>
      <c r="G279" s="1" t="str">
        <f t="shared" si="14"/>
        <v>Likely Match</v>
      </c>
    </row>
    <row r="280" spans="1:7" hidden="1" x14ac:dyDescent="0.35">
      <c r="A280" s="1" t="s">
        <v>681</v>
      </c>
      <c r="B280" s="1" t="s">
        <v>357</v>
      </c>
      <c r="C280" s="1" t="s">
        <v>1298</v>
      </c>
      <c r="D280" s="1" t="str">
        <f t="shared" si="12"/>
        <v>Traverse City</v>
      </c>
      <c r="E280" s="1" t="str">
        <f>IFERROR(INDEX(Census_Metro_List!$A:$A,MATCH(D280&amp;"*",Census_Metro_List!$A:$A,0)),"No Match")</f>
        <v>Traverse City, MI Metro Area</v>
      </c>
      <c r="F280" s="1" t="str">
        <f t="shared" si="13"/>
        <v>MI</v>
      </c>
      <c r="G280" s="1" t="str">
        <f t="shared" si="14"/>
        <v>Likely Match</v>
      </c>
    </row>
    <row r="281" spans="1:7" hidden="1" x14ac:dyDescent="0.35">
      <c r="A281" s="1" t="s">
        <v>682</v>
      </c>
      <c r="B281" s="1" t="s">
        <v>30</v>
      </c>
      <c r="C281" s="1" t="s">
        <v>1298</v>
      </c>
      <c r="D281" s="1" t="str">
        <f t="shared" si="12"/>
        <v>Bangor</v>
      </c>
      <c r="E281" s="1" t="str">
        <f>IFERROR(INDEX(Census_Metro_List!$A:$A,MATCH(D281&amp;"*",Census_Metro_List!$A:$A,0)),"No Match")</f>
        <v>Bangor, ME Metro Area</v>
      </c>
      <c r="F281" s="1" t="str">
        <f t="shared" si="13"/>
        <v>ME</v>
      </c>
      <c r="G281" s="1" t="str">
        <f t="shared" si="14"/>
        <v>Likely Match</v>
      </c>
    </row>
    <row r="282" spans="1:7" hidden="1" x14ac:dyDescent="0.35">
      <c r="A282" s="1" t="s">
        <v>683</v>
      </c>
      <c r="B282" s="1" t="s">
        <v>160</v>
      </c>
      <c r="C282" s="1" t="s">
        <v>1298</v>
      </c>
      <c r="D282" s="1" t="str">
        <f t="shared" si="12"/>
        <v>Homosassa Springs</v>
      </c>
      <c r="E282" s="1" t="str">
        <f>IFERROR(INDEX(Census_Metro_List!$A:$A,MATCH(D282&amp;"*",Census_Metro_List!$A:$A,0)),"No Match")</f>
        <v>Homosassa Springs, FL Metro Area</v>
      </c>
      <c r="F282" s="1" t="str">
        <f t="shared" si="13"/>
        <v>FL</v>
      </c>
      <c r="G282" s="1" t="str">
        <f t="shared" si="14"/>
        <v>Likely Match</v>
      </c>
    </row>
    <row r="283" spans="1:7" hidden="1" x14ac:dyDescent="0.35">
      <c r="A283" s="1" t="s">
        <v>684</v>
      </c>
      <c r="B283" s="1" t="s">
        <v>151</v>
      </c>
      <c r="C283" s="1" t="s">
        <v>1298</v>
      </c>
      <c r="D283" s="1" t="str">
        <f t="shared" si="12"/>
        <v>Hanford</v>
      </c>
      <c r="E283" s="1" t="str">
        <f>IFERROR(INDEX(Census_Metro_List!$A:$A,MATCH(D283&amp;"*",Census_Metro_List!$A:$A,0)),"No Match")</f>
        <v>Hanford-Corcoran, CA Metro Area</v>
      </c>
      <c r="F283" s="1" t="str">
        <f t="shared" si="13"/>
        <v>CA</v>
      </c>
      <c r="G283" s="1" t="str">
        <f t="shared" si="14"/>
        <v>Likely Match</v>
      </c>
    </row>
    <row r="284" spans="1:7" hidden="1" x14ac:dyDescent="0.35">
      <c r="A284" s="1" t="s">
        <v>685</v>
      </c>
      <c r="B284" s="1" t="s">
        <v>176</v>
      </c>
      <c r="C284" s="1" t="s">
        <v>1298</v>
      </c>
      <c r="D284" s="1" t="str">
        <f t="shared" si="12"/>
        <v>Jefferson City</v>
      </c>
      <c r="E284" s="1" t="str">
        <f>IFERROR(INDEX(Census_Metro_List!$A:$A,MATCH(D284&amp;"*",Census_Metro_List!$A:$A,0)),"No Match")</f>
        <v>Jefferson City, MO Metro Area</v>
      </c>
      <c r="F284" s="1" t="str">
        <f t="shared" si="13"/>
        <v>MO</v>
      </c>
      <c r="G284" s="1" t="str">
        <f t="shared" si="14"/>
        <v>Likely Match</v>
      </c>
    </row>
    <row r="285" spans="1:7" x14ac:dyDescent="0.35">
      <c r="A285" s="1" t="s">
        <v>686</v>
      </c>
      <c r="B285" s="1" t="s">
        <v>124</v>
      </c>
      <c r="C285" s="1" t="s">
        <v>1298</v>
      </c>
      <c r="D285" s="1" t="str">
        <f t="shared" si="12"/>
        <v>Florence</v>
      </c>
      <c r="E285" s="1" t="str">
        <f>IFERROR(INDEX(Census_Metro_List!$A:$A,MATCH(D285&amp;"*",Census_Metro_List!$A:$A,0)),"No Match")</f>
        <v>Florence, SC Metro Area</v>
      </c>
      <c r="F285" s="1" t="str">
        <f t="shared" si="13"/>
        <v>AL</v>
      </c>
      <c r="G285" s="1" t="str">
        <f t="shared" si="14"/>
        <v>Review</v>
      </c>
    </row>
    <row r="286" spans="1:7" hidden="1" x14ac:dyDescent="0.35">
      <c r="A286" s="1" t="s">
        <v>687</v>
      </c>
      <c r="B286" s="1" t="s">
        <v>100</v>
      </c>
      <c r="C286" s="1" t="s">
        <v>1298</v>
      </c>
      <c r="D286" s="1" t="str">
        <f t="shared" si="12"/>
        <v>Dothan</v>
      </c>
      <c r="E286" s="1" t="str">
        <f>IFERROR(INDEX(Census_Metro_List!$A:$A,MATCH(D286&amp;"*",Census_Metro_List!$A:$A,0)),"No Match")</f>
        <v>Dothan, AL Metro Area</v>
      </c>
      <c r="F286" s="1" t="str">
        <f t="shared" si="13"/>
        <v>AL</v>
      </c>
      <c r="G286" s="1" t="str">
        <f t="shared" si="14"/>
        <v>Likely Match</v>
      </c>
    </row>
    <row r="287" spans="1:7" x14ac:dyDescent="0.35">
      <c r="A287" s="1" t="s">
        <v>688</v>
      </c>
      <c r="B287" s="1"/>
      <c r="C287" s="1" t="s">
        <v>1299</v>
      </c>
      <c r="D287" s="1" t="str">
        <f t="shared" si="12"/>
        <v>London</v>
      </c>
      <c r="E287" s="1" t="str">
        <f>IFERROR(INDEX(Census_Metro_List!$A:$A,MATCH(D287&amp;"*",Census_Metro_List!$A:$A,0)),"No Match")</f>
        <v>No Match</v>
      </c>
      <c r="F287" s="1" t="str">
        <f t="shared" si="13"/>
        <v>KY</v>
      </c>
      <c r="G287" s="1" t="str">
        <f t="shared" si="14"/>
        <v>Review</v>
      </c>
    </row>
    <row r="288" spans="1:7" hidden="1" x14ac:dyDescent="0.35">
      <c r="A288" s="1" t="s">
        <v>689</v>
      </c>
      <c r="B288" s="1" t="s">
        <v>6</v>
      </c>
      <c r="C288" s="1" t="s">
        <v>1298</v>
      </c>
      <c r="D288" s="1" t="str">
        <f t="shared" si="12"/>
        <v>Albany</v>
      </c>
      <c r="E288" s="1" t="str">
        <f>IFERROR(INDEX(Census_Metro_List!$A:$A,MATCH(D288&amp;"*",Census_Metro_List!$A:$A,0)),"No Match")</f>
        <v>Albany, GA Metro Area</v>
      </c>
      <c r="F288" s="1" t="str">
        <f t="shared" si="13"/>
        <v>GA</v>
      </c>
      <c r="G288" s="1" t="str">
        <f t="shared" si="14"/>
        <v>Likely Match</v>
      </c>
    </row>
    <row r="289" spans="1:7" hidden="1" x14ac:dyDescent="0.35">
      <c r="A289" s="1" t="s">
        <v>690</v>
      </c>
      <c r="B289" s="1" t="s">
        <v>336</v>
      </c>
      <c r="C289" s="1" t="s">
        <v>1298</v>
      </c>
      <c r="D289" s="1" t="str">
        <f t="shared" si="12"/>
        <v>Sioux City</v>
      </c>
      <c r="E289" s="1" t="str">
        <f>IFERROR(INDEX(Census_Metro_List!$A:$A,MATCH(D289&amp;"*",Census_Metro_List!$A:$A,0)),"No Match")</f>
        <v>Sioux City, IA-NE-SD Metro Area</v>
      </c>
      <c r="F289" s="1" t="str">
        <f t="shared" si="13"/>
        <v>IA</v>
      </c>
      <c r="G289" s="1" t="str">
        <f t="shared" si="14"/>
        <v>Likely Match</v>
      </c>
    </row>
    <row r="290" spans="1:7" hidden="1" x14ac:dyDescent="0.35">
      <c r="A290" s="1" t="s">
        <v>691</v>
      </c>
      <c r="B290" s="1" t="s">
        <v>384</v>
      </c>
      <c r="C290" s="1" t="s">
        <v>1298</v>
      </c>
      <c r="D290" s="1" t="str">
        <f t="shared" si="12"/>
        <v>Wichita Falls</v>
      </c>
      <c r="E290" s="1" t="str">
        <f>IFERROR(INDEX(Census_Metro_List!$A:$A,MATCH(D290&amp;"*",Census_Metro_List!$A:$A,0)),"No Match")</f>
        <v>Wichita Falls, TX Metro Area</v>
      </c>
      <c r="F290" s="1" t="str">
        <f t="shared" si="13"/>
        <v>TX</v>
      </c>
      <c r="G290" s="1" t="str">
        <f t="shared" si="14"/>
        <v>Likely Match</v>
      </c>
    </row>
    <row r="291" spans="1:7" hidden="1" x14ac:dyDescent="0.35">
      <c r="A291" s="1" t="s">
        <v>692</v>
      </c>
      <c r="B291" s="1" t="s">
        <v>354</v>
      </c>
      <c r="C291" s="1" t="s">
        <v>1298</v>
      </c>
      <c r="D291" s="1" t="str">
        <f t="shared" si="12"/>
        <v>Texarkana</v>
      </c>
      <c r="E291" s="1" t="str">
        <f>IFERROR(INDEX(Census_Metro_List!$A:$A,MATCH(D291&amp;"*",Census_Metro_List!$A:$A,0)),"No Match")</f>
        <v>Texarkana, TX-AR Metro Area</v>
      </c>
      <c r="F291" s="1" t="str">
        <f t="shared" si="13"/>
        <v>TX</v>
      </c>
      <c r="G291" s="1" t="str">
        <f t="shared" si="14"/>
        <v>Likely Match</v>
      </c>
    </row>
    <row r="292" spans="1:7" hidden="1" x14ac:dyDescent="0.35">
      <c r="A292" s="1" t="s">
        <v>693</v>
      </c>
      <c r="B292" s="1" t="s">
        <v>366</v>
      </c>
      <c r="C292" s="1" t="s">
        <v>1298</v>
      </c>
      <c r="D292" s="1" t="str">
        <f t="shared" si="12"/>
        <v>Valdosta</v>
      </c>
      <c r="E292" s="1" t="str">
        <f>IFERROR(INDEX(Census_Metro_List!$A:$A,MATCH(D292&amp;"*",Census_Metro_List!$A:$A,0)),"No Match")</f>
        <v>Valdosta, GA Metro Area</v>
      </c>
      <c r="F292" s="1" t="str">
        <f t="shared" si="13"/>
        <v>GA</v>
      </c>
      <c r="G292" s="1" t="str">
        <f t="shared" si="14"/>
        <v>Likely Match</v>
      </c>
    </row>
    <row r="293" spans="1:7" hidden="1" x14ac:dyDescent="0.35">
      <c r="A293" s="1" t="s">
        <v>694</v>
      </c>
      <c r="B293" s="1" t="s">
        <v>214</v>
      </c>
      <c r="C293" s="1" t="s">
        <v>1298</v>
      </c>
      <c r="D293" s="1" t="str">
        <f t="shared" si="12"/>
        <v>Logan</v>
      </c>
      <c r="E293" s="1" t="str">
        <f>IFERROR(INDEX(Census_Metro_List!$A:$A,MATCH(D293&amp;"*",Census_Metro_List!$A:$A,0)),"No Match")</f>
        <v>Logan, UT-ID Metro Area</v>
      </c>
      <c r="F293" s="1" t="str">
        <f t="shared" si="13"/>
        <v>UT</v>
      </c>
      <c r="G293" s="1" t="str">
        <f t="shared" si="14"/>
        <v>Likely Match</v>
      </c>
    </row>
    <row r="294" spans="1:7" hidden="1" x14ac:dyDescent="0.35">
      <c r="A294" s="1" t="s">
        <v>695</v>
      </c>
      <c r="B294" s="1" t="s">
        <v>121</v>
      </c>
      <c r="C294" s="1" t="s">
        <v>1298</v>
      </c>
      <c r="D294" s="1" t="str">
        <f t="shared" si="12"/>
        <v>Flagstaff</v>
      </c>
      <c r="E294" s="1" t="str">
        <f>IFERROR(INDEX(Census_Metro_List!$A:$A,MATCH(D294&amp;"*",Census_Metro_List!$A:$A,0)),"No Match")</f>
        <v>Flagstaff, AZ Metro Area</v>
      </c>
      <c r="F294" s="1" t="str">
        <f t="shared" si="13"/>
        <v>AZ</v>
      </c>
      <c r="G294" s="1" t="str">
        <f t="shared" si="14"/>
        <v>Likely Match</v>
      </c>
    </row>
    <row r="295" spans="1:7" hidden="1" x14ac:dyDescent="0.35">
      <c r="A295" s="1" t="s">
        <v>696</v>
      </c>
      <c r="B295" s="1" t="s">
        <v>303</v>
      </c>
      <c r="C295" s="1" t="s">
        <v>1298</v>
      </c>
      <c r="D295" s="1" t="str">
        <f t="shared" si="12"/>
        <v>Rocky Mount</v>
      </c>
      <c r="E295" s="1" t="str">
        <f>IFERROR(INDEX(Census_Metro_List!$A:$A,MATCH(D295&amp;"*",Census_Metro_List!$A:$A,0)),"No Match")</f>
        <v>Rocky Mount, NC Metro Area</v>
      </c>
      <c r="F295" s="1" t="str">
        <f t="shared" si="13"/>
        <v>NC</v>
      </c>
      <c r="G295" s="1" t="str">
        <f t="shared" si="14"/>
        <v>Likely Match</v>
      </c>
    </row>
    <row r="296" spans="1:7" x14ac:dyDescent="0.35">
      <c r="A296" s="1" t="s">
        <v>697</v>
      </c>
      <c r="B296" s="1"/>
      <c r="C296" s="1" t="s">
        <v>1299</v>
      </c>
      <c r="D296" s="1" t="str">
        <f t="shared" si="12"/>
        <v>Pottsville</v>
      </c>
      <c r="E296" s="1" t="str">
        <f>IFERROR(INDEX(Census_Metro_List!$A:$A,MATCH(D296&amp;"*",Census_Metro_List!$A:$A,0)),"No Match")</f>
        <v>No Match</v>
      </c>
      <c r="F296" s="1" t="str">
        <f t="shared" si="13"/>
        <v>PA</v>
      </c>
      <c r="G296" s="1" t="str">
        <f t="shared" si="14"/>
        <v>Review</v>
      </c>
    </row>
    <row r="297" spans="1:7" hidden="1" x14ac:dyDescent="0.35">
      <c r="A297" s="1" t="s">
        <v>698</v>
      </c>
      <c r="B297" s="1" t="s">
        <v>90</v>
      </c>
      <c r="C297" s="1" t="s">
        <v>1298</v>
      </c>
      <c r="D297" s="1" t="str">
        <f t="shared" si="12"/>
        <v>Dalton</v>
      </c>
      <c r="E297" s="1" t="str">
        <f>IFERROR(INDEX(Census_Metro_List!$A:$A,MATCH(D297&amp;"*",Census_Metro_List!$A:$A,0)),"No Match")</f>
        <v>Dalton, GA Metro Area</v>
      </c>
      <c r="F297" s="1" t="str">
        <f t="shared" si="13"/>
        <v>GA</v>
      </c>
      <c r="G297" s="1" t="str">
        <f t="shared" si="14"/>
        <v>Likely Match</v>
      </c>
    </row>
    <row r="298" spans="1:7" hidden="1" x14ac:dyDescent="0.35">
      <c r="A298" s="1" t="s">
        <v>699</v>
      </c>
      <c r="B298" s="1" t="s">
        <v>206</v>
      </c>
      <c r="C298" s="1" t="s">
        <v>1298</v>
      </c>
      <c r="D298" s="1" t="str">
        <f t="shared" si="12"/>
        <v>Lebanon</v>
      </c>
      <c r="E298" s="1" t="str">
        <f>IFERROR(INDEX(Census_Metro_List!$A:$A,MATCH(D298&amp;"*",Census_Metro_List!$A:$A,0)),"No Match")</f>
        <v>Lebanon, PA Metro Area</v>
      </c>
      <c r="F298" s="1" t="str">
        <f t="shared" si="13"/>
        <v>PA</v>
      </c>
      <c r="G298" s="1" t="str">
        <f t="shared" si="14"/>
        <v>Likely Match</v>
      </c>
    </row>
    <row r="299" spans="1:7" hidden="1" x14ac:dyDescent="0.35">
      <c r="A299" s="1" t="s">
        <v>700</v>
      </c>
      <c r="B299" s="1" t="s">
        <v>246</v>
      </c>
      <c r="C299" s="1" t="s">
        <v>1298</v>
      </c>
      <c r="D299" s="1" t="str">
        <f t="shared" si="12"/>
        <v>Morristown</v>
      </c>
      <c r="E299" s="1" t="str">
        <f>IFERROR(INDEX(Census_Metro_List!$A:$A,MATCH(D299&amp;"*",Census_Metro_List!$A:$A,0)),"No Match")</f>
        <v>Morristown, TN Metro Area</v>
      </c>
      <c r="F299" s="1" t="str">
        <f t="shared" si="13"/>
        <v>TN</v>
      </c>
      <c r="G299" s="1" t="str">
        <f t="shared" si="14"/>
        <v>Likely Match</v>
      </c>
    </row>
    <row r="300" spans="1:7" hidden="1" x14ac:dyDescent="0.35">
      <c r="A300" s="1" t="s">
        <v>701</v>
      </c>
      <c r="B300" s="1" t="s">
        <v>388</v>
      </c>
      <c r="C300" s="1" t="s">
        <v>1298</v>
      </c>
      <c r="D300" s="1" t="str">
        <f t="shared" si="12"/>
        <v>Winchester</v>
      </c>
      <c r="E300" s="1" t="str">
        <f>IFERROR(INDEX(Census_Metro_List!$A:$A,MATCH(D300&amp;"*",Census_Metro_List!$A:$A,0)),"No Match")</f>
        <v>Winchester, VA-WV Metro Area</v>
      </c>
      <c r="F300" s="1" t="str">
        <f t="shared" si="13"/>
        <v>VA</v>
      </c>
      <c r="G300" s="1" t="str">
        <f t="shared" si="14"/>
        <v>Likely Match</v>
      </c>
    </row>
    <row r="301" spans="1:7" hidden="1" x14ac:dyDescent="0.35">
      <c r="A301" s="1" t="s">
        <v>702</v>
      </c>
      <c r="B301" s="1" t="s">
        <v>382</v>
      </c>
      <c r="C301" s="1" t="s">
        <v>1298</v>
      </c>
      <c r="D301" s="1" t="str">
        <f t="shared" si="12"/>
        <v>Wheeling</v>
      </c>
      <c r="E301" s="1" t="str">
        <f>IFERROR(INDEX(Census_Metro_List!$A:$A,MATCH(D301&amp;"*",Census_Metro_List!$A:$A,0)),"No Match")</f>
        <v>Wheeling, WV-OH Metro Area</v>
      </c>
      <c r="F301" s="1" t="str">
        <f t="shared" si="13"/>
        <v>WV</v>
      </c>
      <c r="G301" s="1" t="str">
        <f t="shared" si="14"/>
        <v>Likely Match</v>
      </c>
    </row>
    <row r="302" spans="1:7" hidden="1" x14ac:dyDescent="0.35">
      <c r="A302" s="1" t="s">
        <v>703</v>
      </c>
      <c r="B302" s="1" t="s">
        <v>245</v>
      </c>
      <c r="C302" s="1" t="s">
        <v>1298</v>
      </c>
      <c r="D302" s="1" t="str">
        <f t="shared" si="12"/>
        <v>Morgantown</v>
      </c>
      <c r="E302" s="1" t="str">
        <f>IFERROR(INDEX(Census_Metro_List!$A:$A,MATCH(D302&amp;"*",Census_Metro_List!$A:$A,0)),"No Match")</f>
        <v>Morgantown, WV Metro Area</v>
      </c>
      <c r="F302" s="1" t="str">
        <f t="shared" si="13"/>
        <v>WV</v>
      </c>
      <c r="G302" s="1" t="str">
        <f t="shared" si="14"/>
        <v>Likely Match</v>
      </c>
    </row>
    <row r="303" spans="1:7" hidden="1" x14ac:dyDescent="0.35">
      <c r="A303" s="1" t="s">
        <v>704</v>
      </c>
      <c r="B303" s="1" t="s">
        <v>193</v>
      </c>
      <c r="C303" s="1" t="s">
        <v>1298</v>
      </c>
      <c r="D303" s="1" t="str">
        <f t="shared" si="12"/>
        <v>La Crosse</v>
      </c>
      <c r="E303" s="1" t="str">
        <f>IFERROR(INDEX(Census_Metro_List!$A:$A,MATCH(D303&amp;"*",Census_Metro_List!$A:$A,0)),"No Match")</f>
        <v>La Crosse-Onalaska, WI-MN Metro Area</v>
      </c>
      <c r="F303" s="1" t="str">
        <f t="shared" si="13"/>
        <v>WI</v>
      </c>
      <c r="G303" s="1" t="str">
        <f t="shared" si="14"/>
        <v>Likely Match</v>
      </c>
    </row>
    <row r="304" spans="1:7" hidden="1" x14ac:dyDescent="0.35">
      <c r="A304" s="1" t="s">
        <v>705</v>
      </c>
      <c r="B304" s="1" t="s">
        <v>251</v>
      </c>
      <c r="C304" s="1" t="s">
        <v>1298</v>
      </c>
      <c r="D304" s="1" t="str">
        <f t="shared" si="12"/>
        <v>Napa</v>
      </c>
      <c r="E304" s="1" t="str">
        <f>IFERROR(INDEX(Census_Metro_List!$A:$A,MATCH(D304&amp;"*",Census_Metro_List!$A:$A,0)),"No Match")</f>
        <v>Napa, CA Metro Area</v>
      </c>
      <c r="F304" s="1" t="str">
        <f t="shared" si="13"/>
        <v>CA</v>
      </c>
      <c r="G304" s="1" t="str">
        <f t="shared" si="14"/>
        <v>Likely Match</v>
      </c>
    </row>
    <row r="305" spans="1:7" hidden="1" x14ac:dyDescent="0.35">
      <c r="A305" s="1" t="s">
        <v>706</v>
      </c>
      <c r="B305" s="1" t="s">
        <v>293</v>
      </c>
      <c r="C305" s="1" t="s">
        <v>1298</v>
      </c>
      <c r="D305" s="1" t="str">
        <f t="shared" si="12"/>
        <v>Rapid City</v>
      </c>
      <c r="E305" s="1" t="str">
        <f>IFERROR(INDEX(Census_Metro_List!$A:$A,MATCH(D305&amp;"*",Census_Metro_List!$A:$A,0)),"No Match")</f>
        <v>Rapid City, SD Metro Area</v>
      </c>
      <c r="F305" s="1" t="str">
        <f t="shared" si="13"/>
        <v>SD</v>
      </c>
      <c r="G305" s="1" t="str">
        <f t="shared" si="14"/>
        <v>Likely Match</v>
      </c>
    </row>
    <row r="306" spans="1:7" hidden="1" x14ac:dyDescent="0.35">
      <c r="A306" s="1" t="s">
        <v>707</v>
      </c>
      <c r="B306" s="1" t="s">
        <v>349</v>
      </c>
      <c r="C306" s="1" t="s">
        <v>1298</v>
      </c>
      <c r="D306" s="1" t="str">
        <f t="shared" si="12"/>
        <v>Sumter</v>
      </c>
      <c r="E306" s="1" t="str">
        <f>IFERROR(INDEX(Census_Metro_List!$A:$A,MATCH(D306&amp;"*",Census_Metro_List!$A:$A,0)),"No Match")</f>
        <v>Sumter, SC Metro Area</v>
      </c>
      <c r="F306" s="1" t="str">
        <f t="shared" si="13"/>
        <v>SC</v>
      </c>
      <c r="G306" s="1" t="str">
        <f t="shared" si="14"/>
        <v>Likely Match</v>
      </c>
    </row>
    <row r="307" spans="1:7" x14ac:dyDescent="0.35">
      <c r="A307" s="1" t="s">
        <v>708</v>
      </c>
      <c r="B307" s="1"/>
      <c r="C307" s="1" t="s">
        <v>1299</v>
      </c>
      <c r="D307" s="1" t="str">
        <f t="shared" si="12"/>
        <v>Eureka</v>
      </c>
      <c r="E307" s="1" t="str">
        <f>IFERROR(INDEX(Census_Metro_List!$A:$A,MATCH(D307&amp;"*",Census_Metro_List!$A:$A,0)),"No Match")</f>
        <v>No Match</v>
      </c>
      <c r="F307" s="1" t="str">
        <f t="shared" si="13"/>
        <v>CA</v>
      </c>
      <c r="G307" s="1" t="str">
        <f t="shared" si="14"/>
        <v>Review</v>
      </c>
    </row>
    <row r="308" spans="1:7" x14ac:dyDescent="0.35">
      <c r="A308" s="1" t="s">
        <v>709</v>
      </c>
      <c r="B308" s="1" t="s">
        <v>345</v>
      </c>
      <c r="C308" s="1" t="s">
        <v>1298</v>
      </c>
      <c r="D308" s="1" t="str">
        <f t="shared" si="12"/>
        <v>Springfield</v>
      </c>
      <c r="E308" s="1" t="str">
        <f>IFERROR(INDEX(Census_Metro_List!$A:$A,MATCH(D308&amp;"*",Census_Metro_List!$A:$A,0)),"No Match")</f>
        <v>Springfield, IL Metro Area</v>
      </c>
      <c r="F308" s="1" t="str">
        <f t="shared" si="13"/>
        <v>OH</v>
      </c>
      <c r="G308" s="1" t="str">
        <f t="shared" si="14"/>
        <v>Review</v>
      </c>
    </row>
    <row r="309" spans="1:7" hidden="1" x14ac:dyDescent="0.35">
      <c r="A309" s="1" t="s">
        <v>710</v>
      </c>
      <c r="B309" s="1" t="s">
        <v>153</v>
      </c>
      <c r="C309" s="1" t="s">
        <v>1298</v>
      </c>
      <c r="D309" s="1" t="str">
        <f t="shared" si="12"/>
        <v>Harrisonburg</v>
      </c>
      <c r="E309" s="1" t="str">
        <f>IFERROR(INDEX(Census_Metro_List!$A:$A,MATCH(D309&amp;"*",Census_Metro_List!$A:$A,0)),"No Match")</f>
        <v>Harrisonburg, VA Metro Area</v>
      </c>
      <c r="F309" s="1" t="str">
        <f t="shared" si="13"/>
        <v>VA</v>
      </c>
      <c r="G309" s="1" t="str">
        <f t="shared" si="14"/>
        <v>Likely Match</v>
      </c>
    </row>
    <row r="310" spans="1:7" hidden="1" x14ac:dyDescent="0.35">
      <c r="A310" s="1" t="s">
        <v>711</v>
      </c>
      <c r="B310" s="1" t="s">
        <v>33</v>
      </c>
      <c r="C310" s="1" t="s">
        <v>1298</v>
      </c>
      <c r="D310" s="1" t="str">
        <f t="shared" si="12"/>
        <v>Battle Creek</v>
      </c>
      <c r="E310" s="1" t="str">
        <f>IFERROR(INDEX(Census_Metro_List!$A:$A,MATCH(D310&amp;"*",Census_Metro_List!$A:$A,0)),"No Match")</f>
        <v>Battle Creek, MI Metro Area</v>
      </c>
      <c r="F310" s="1" t="str">
        <f t="shared" si="13"/>
        <v>MI</v>
      </c>
      <c r="G310" s="1" t="str">
        <f t="shared" si="14"/>
        <v>Likely Match</v>
      </c>
    </row>
    <row r="311" spans="1:7" hidden="1" x14ac:dyDescent="0.35">
      <c r="A311" s="1" t="s">
        <v>712</v>
      </c>
      <c r="B311" s="1" t="s">
        <v>333</v>
      </c>
      <c r="C311" s="1" t="s">
        <v>1298</v>
      </c>
      <c r="D311" s="1" t="str">
        <f t="shared" si="12"/>
        <v>Sherman</v>
      </c>
      <c r="E311" s="1" t="str">
        <f>IFERROR(INDEX(Census_Metro_List!$A:$A,MATCH(D311&amp;"*",Census_Metro_List!$A:$A,0)),"No Match")</f>
        <v>Sherman-Denison, TX Metro Area</v>
      </c>
      <c r="F311" s="1" t="str">
        <f t="shared" si="13"/>
        <v>TX</v>
      </c>
      <c r="G311" s="1" t="str">
        <f t="shared" si="14"/>
        <v>Likely Match</v>
      </c>
    </row>
    <row r="312" spans="1:7" hidden="1" x14ac:dyDescent="0.35">
      <c r="A312" s="1" t="s">
        <v>713</v>
      </c>
      <c r="B312" s="1" t="s">
        <v>224</v>
      </c>
      <c r="C312" s="1" t="s">
        <v>1298</v>
      </c>
      <c r="D312" s="1" t="str">
        <f t="shared" si="12"/>
        <v>Manhattan</v>
      </c>
      <c r="E312" s="1" t="str">
        <f>IFERROR(INDEX(Census_Metro_List!$A:$A,MATCH(D312&amp;"*",Census_Metro_List!$A:$A,0)),"No Match")</f>
        <v>Manhattan, KS Metro Area</v>
      </c>
      <c r="F312" s="1" t="str">
        <f t="shared" si="13"/>
        <v>KS</v>
      </c>
      <c r="G312" s="1" t="str">
        <f t="shared" si="14"/>
        <v>Likely Match</v>
      </c>
    </row>
    <row r="313" spans="1:7" x14ac:dyDescent="0.35">
      <c r="A313" s="1" t="s">
        <v>714</v>
      </c>
      <c r="B313" s="1"/>
      <c r="C313" s="1" t="s">
        <v>1299</v>
      </c>
      <c r="D313" s="1" t="str">
        <f t="shared" si="12"/>
        <v>Carbondale</v>
      </c>
      <c r="E313" s="1" t="str">
        <f>IFERROR(INDEX(Census_Metro_List!$A:$A,MATCH(D313&amp;"*",Census_Metro_List!$A:$A,0)),"No Match")</f>
        <v>No Match</v>
      </c>
      <c r="F313" s="1" t="str">
        <f t="shared" si="13"/>
        <v>IL</v>
      </c>
      <c r="G313" s="1" t="str">
        <f t="shared" si="14"/>
        <v>Review</v>
      </c>
    </row>
    <row r="314" spans="1:7" hidden="1" x14ac:dyDescent="0.35">
      <c r="A314" s="1" t="s">
        <v>715</v>
      </c>
      <c r="B314" s="1" t="s">
        <v>178</v>
      </c>
      <c r="C314" s="1" t="s">
        <v>1298</v>
      </c>
      <c r="D314" s="1" t="str">
        <f t="shared" si="12"/>
        <v>Johnstown</v>
      </c>
      <c r="E314" s="1" t="str">
        <f>IFERROR(INDEX(Census_Metro_List!$A:$A,MATCH(D314&amp;"*",Census_Metro_List!$A:$A,0)),"No Match")</f>
        <v>Johnstown, PA Metro Area</v>
      </c>
      <c r="F314" s="1" t="str">
        <f t="shared" si="13"/>
        <v>PA</v>
      </c>
      <c r="G314" s="1" t="str">
        <f t="shared" si="14"/>
        <v>Likely Match</v>
      </c>
    </row>
    <row r="315" spans="1:7" hidden="1" x14ac:dyDescent="0.35">
      <c r="A315" s="1" t="s">
        <v>716</v>
      </c>
      <c r="B315" s="1" t="s">
        <v>179</v>
      </c>
      <c r="C315" s="1" t="s">
        <v>1298</v>
      </c>
      <c r="D315" s="1" t="str">
        <f t="shared" si="12"/>
        <v>Jonesboro</v>
      </c>
      <c r="E315" s="1" t="str">
        <f>IFERROR(INDEX(Census_Metro_List!$A:$A,MATCH(D315&amp;"*",Census_Metro_List!$A:$A,0)),"No Match")</f>
        <v>Jonesboro, AR Metro Area</v>
      </c>
      <c r="F315" s="1" t="str">
        <f t="shared" si="13"/>
        <v>AR</v>
      </c>
      <c r="G315" s="1" t="str">
        <f t="shared" si="14"/>
        <v>Likely Match</v>
      </c>
    </row>
    <row r="316" spans="1:7" hidden="1" x14ac:dyDescent="0.35">
      <c r="A316" s="1" t="s">
        <v>717</v>
      </c>
      <c r="B316" s="1" t="s">
        <v>42</v>
      </c>
      <c r="C316" s="1" t="s">
        <v>1298</v>
      </c>
      <c r="D316" s="1" t="str">
        <f t="shared" si="12"/>
        <v>Bismarck</v>
      </c>
      <c r="E316" s="1" t="str">
        <f>IFERROR(INDEX(Census_Metro_List!$A:$A,MATCH(D316&amp;"*",Census_Metro_List!$A:$A,0)),"No Match")</f>
        <v>Bismarck, ND Metro Area</v>
      </c>
      <c r="F316" s="1" t="str">
        <f t="shared" si="13"/>
        <v>ND</v>
      </c>
      <c r="G316" s="1" t="str">
        <f t="shared" si="14"/>
        <v>Likely Match</v>
      </c>
    </row>
    <row r="317" spans="1:7" hidden="1" x14ac:dyDescent="0.35">
      <c r="A317" s="1" t="s">
        <v>718</v>
      </c>
      <c r="B317" s="1" t="s">
        <v>150</v>
      </c>
      <c r="C317" s="1" t="s">
        <v>1298</v>
      </c>
      <c r="D317" s="1" t="str">
        <f t="shared" si="12"/>
        <v>Hammond</v>
      </c>
      <c r="E317" s="1" t="str">
        <f>IFERROR(INDEX(Census_Metro_List!$A:$A,MATCH(D317&amp;"*",Census_Metro_List!$A:$A,0)),"No Match")</f>
        <v>Hammond, LA Metro Area</v>
      </c>
      <c r="F317" s="1" t="str">
        <f t="shared" si="13"/>
        <v>LA</v>
      </c>
      <c r="G317" s="1" t="str">
        <f t="shared" si="14"/>
        <v>Likely Match</v>
      </c>
    </row>
    <row r="318" spans="1:7" hidden="1" x14ac:dyDescent="0.35">
      <c r="A318" s="1" t="s">
        <v>719</v>
      </c>
      <c r="B318" s="1" t="s">
        <v>280</v>
      </c>
      <c r="C318" s="1" t="s">
        <v>1298</v>
      </c>
      <c r="D318" s="1" t="str">
        <f t="shared" si="12"/>
        <v>Pittsfield</v>
      </c>
      <c r="E318" s="1" t="str">
        <f>IFERROR(INDEX(Census_Metro_List!$A:$A,MATCH(D318&amp;"*",Census_Metro_List!$A:$A,0)),"No Match")</f>
        <v>Pittsfield, MA Metro Area</v>
      </c>
      <c r="F318" s="1" t="str">
        <f t="shared" si="13"/>
        <v>MA</v>
      </c>
      <c r="G318" s="1" t="str">
        <f t="shared" si="14"/>
        <v>Likely Match</v>
      </c>
    </row>
    <row r="319" spans="1:7" hidden="1" x14ac:dyDescent="0.35">
      <c r="A319" s="1" t="s">
        <v>720</v>
      </c>
      <c r="B319" s="1" t="s">
        <v>247</v>
      </c>
      <c r="C319" s="1" t="s">
        <v>1298</v>
      </c>
      <c r="D319" s="1" t="str">
        <f t="shared" si="12"/>
        <v>Mount Vernon</v>
      </c>
      <c r="E319" s="1" t="str">
        <f>IFERROR(INDEX(Census_Metro_List!$A:$A,MATCH(D319&amp;"*",Census_Metro_List!$A:$A,0)),"No Match")</f>
        <v>Mount Vernon-Anacortes, WA Metro Area</v>
      </c>
      <c r="F319" s="1" t="str">
        <f t="shared" si="13"/>
        <v>WA</v>
      </c>
      <c r="G319" s="1" t="str">
        <f t="shared" si="14"/>
        <v>Likely Match</v>
      </c>
    </row>
    <row r="320" spans="1:7" x14ac:dyDescent="0.35">
      <c r="A320" s="1" t="s">
        <v>721</v>
      </c>
      <c r="B320" s="1"/>
      <c r="C320" s="1" t="s">
        <v>1299</v>
      </c>
      <c r="D320" s="1" t="str">
        <f t="shared" si="12"/>
        <v>Jamestown</v>
      </c>
      <c r="E320" s="1" t="str">
        <f>IFERROR(INDEX(Census_Metro_List!$A:$A,MATCH(D320&amp;"*",Census_Metro_List!$A:$A,0)),"No Match")</f>
        <v>No Match</v>
      </c>
      <c r="F320" s="1" t="str">
        <f t="shared" si="13"/>
        <v>NY</v>
      </c>
      <c r="G320" s="1" t="str">
        <f t="shared" si="14"/>
        <v>Review</v>
      </c>
    </row>
    <row r="321" spans="1:7" x14ac:dyDescent="0.35">
      <c r="A321" s="1" t="s">
        <v>722</v>
      </c>
      <c r="B321" s="1"/>
      <c r="C321" s="1" t="s">
        <v>1299</v>
      </c>
      <c r="D321" s="1" t="str">
        <f t="shared" si="12"/>
        <v>The Villages</v>
      </c>
      <c r="E321" s="1" t="str">
        <f>IFERROR(INDEX(Census_Metro_List!$A:$A,MATCH(D321&amp;"*",Census_Metro_List!$A:$A,0)),"No Match")</f>
        <v>No Match</v>
      </c>
      <c r="F321" s="1" t="str">
        <f t="shared" si="13"/>
        <v>FL</v>
      </c>
      <c r="G321" s="1" t="str">
        <f t="shared" si="14"/>
        <v>Review</v>
      </c>
    </row>
    <row r="322" spans="1:7" x14ac:dyDescent="0.35">
      <c r="A322" s="1" t="s">
        <v>723</v>
      </c>
      <c r="B322" s="1" t="s">
        <v>7</v>
      </c>
      <c r="C322" s="1" t="s">
        <v>1298</v>
      </c>
      <c r="D322" s="1" t="str">
        <f t="shared" ref="D322:D385" si="15">LEFT(A322,FIND(",",A322)-1)</f>
        <v>Albany</v>
      </c>
      <c r="E322" s="1" t="str">
        <f>IFERROR(INDEX(Census_Metro_List!$A:$A,MATCH(D322&amp;"*",Census_Metro_List!$A:$A,0)),"No Match")</f>
        <v>Albany, GA Metro Area</v>
      </c>
      <c r="F322" s="1" t="str">
        <f t="shared" ref="F322:F385" si="16">TRIM(RIGHT(A322,LEN(A322)-FIND(",",A322)))</f>
        <v>OR</v>
      </c>
      <c r="G322" s="1" t="str">
        <f t="shared" ref="G322:G385" si="17">IF(E322="No Match","Review",IF(ISNUMBER(SEARCH(F322,E322)),"Likely Match","Review"))</f>
        <v>Review</v>
      </c>
    </row>
    <row r="323" spans="1:7" hidden="1" x14ac:dyDescent="0.35">
      <c r="A323" s="1" t="s">
        <v>724</v>
      </c>
      <c r="B323" s="1" t="s">
        <v>134</v>
      </c>
      <c r="C323" s="1" t="s">
        <v>1298</v>
      </c>
      <c r="D323" s="1" t="str">
        <f t="shared" si="15"/>
        <v>Glens Falls</v>
      </c>
      <c r="E323" s="1" t="str">
        <f>IFERROR(INDEX(Census_Metro_List!$A:$A,MATCH(D323&amp;"*",Census_Metro_List!$A:$A,0)),"No Match")</f>
        <v>Glens Falls, NY Metro Area</v>
      </c>
      <c r="F323" s="1" t="str">
        <f t="shared" si="16"/>
        <v>NY</v>
      </c>
      <c r="G323" s="1" t="str">
        <f t="shared" si="17"/>
        <v>Likely Match</v>
      </c>
    </row>
    <row r="324" spans="1:7" hidden="1" x14ac:dyDescent="0.35">
      <c r="A324" s="1" t="s">
        <v>725</v>
      </c>
      <c r="B324" s="1" t="s">
        <v>205</v>
      </c>
      <c r="C324" s="1" t="s">
        <v>1298</v>
      </c>
      <c r="D324" s="1" t="str">
        <f t="shared" si="15"/>
        <v>Lawton</v>
      </c>
      <c r="E324" s="1" t="str">
        <f>IFERROR(INDEX(Census_Metro_List!$A:$A,MATCH(D324&amp;"*",Census_Metro_List!$A:$A,0)),"No Match")</f>
        <v>Lawton, OK Metro Area</v>
      </c>
      <c r="F324" s="1" t="str">
        <f t="shared" si="16"/>
        <v>OK</v>
      </c>
      <c r="G324" s="1" t="str">
        <f t="shared" si="17"/>
        <v>Likely Match</v>
      </c>
    </row>
    <row r="325" spans="1:7" x14ac:dyDescent="0.35">
      <c r="A325" s="1" t="s">
        <v>726</v>
      </c>
      <c r="B325" s="1" t="s">
        <v>77</v>
      </c>
      <c r="C325" s="1" t="s">
        <v>1298</v>
      </c>
      <c r="D325" s="1" t="str">
        <f t="shared" si="15"/>
        <v>Cleveland</v>
      </c>
      <c r="E325" s="1" t="str">
        <f>IFERROR(INDEX(Census_Metro_List!$A:$A,MATCH(D325&amp;"*",Census_Metro_List!$A:$A,0)),"No Match")</f>
        <v>Cleveland, OH Metro Area</v>
      </c>
      <c r="F325" s="1" t="str">
        <f t="shared" si="16"/>
        <v>TN</v>
      </c>
      <c r="G325" s="1" t="str">
        <f t="shared" si="17"/>
        <v>Review</v>
      </c>
    </row>
    <row r="326" spans="1:7" hidden="1" x14ac:dyDescent="0.35">
      <c r="A326" s="1" t="s">
        <v>727</v>
      </c>
      <c r="B326" s="1" t="s">
        <v>335</v>
      </c>
      <c r="C326" s="1" t="s">
        <v>1298</v>
      </c>
      <c r="D326" s="1" t="str">
        <f t="shared" si="15"/>
        <v>Sierra Vista</v>
      </c>
      <c r="E326" s="1" t="str">
        <f>IFERROR(INDEX(Census_Metro_List!$A:$A,MATCH(D326&amp;"*",Census_Metro_List!$A:$A,0)),"No Match")</f>
        <v>Sierra Vista-Douglas, AZ Metro Area</v>
      </c>
      <c r="F326" s="1" t="str">
        <f t="shared" si="16"/>
        <v>AZ</v>
      </c>
      <c r="G326" s="1" t="str">
        <f t="shared" si="17"/>
        <v>Likely Match</v>
      </c>
    </row>
    <row r="327" spans="1:7" hidden="1" x14ac:dyDescent="0.35">
      <c r="A327" s="1" t="s">
        <v>728</v>
      </c>
      <c r="B327" s="1" t="s">
        <v>14</v>
      </c>
      <c r="C327" s="1" t="s">
        <v>1298</v>
      </c>
      <c r="D327" s="1" t="str">
        <f t="shared" si="15"/>
        <v>Ames</v>
      </c>
      <c r="E327" s="1" t="str">
        <f>IFERROR(INDEX(Census_Metro_List!$A:$A,MATCH(D327&amp;"*",Census_Metro_List!$A:$A,0)),"No Match")</f>
        <v>Ames, IA Metro Area</v>
      </c>
      <c r="F327" s="1" t="str">
        <f t="shared" si="16"/>
        <v>IA</v>
      </c>
      <c r="G327" s="1" t="str">
        <f t="shared" si="17"/>
        <v>Likely Match</v>
      </c>
    </row>
    <row r="328" spans="1:7" hidden="1" x14ac:dyDescent="0.35">
      <c r="A328" s="1" t="s">
        <v>729</v>
      </c>
      <c r="B328" s="1" t="s">
        <v>226</v>
      </c>
      <c r="C328" s="1" t="s">
        <v>1298</v>
      </c>
      <c r="D328" s="1" t="str">
        <f t="shared" si="15"/>
        <v>Mansfield</v>
      </c>
      <c r="E328" s="1" t="str">
        <f>IFERROR(INDEX(Census_Metro_List!$A:$A,MATCH(D328&amp;"*",Census_Metro_List!$A:$A,0)),"No Match")</f>
        <v>Mansfield, OH Metro Area</v>
      </c>
      <c r="F328" s="1" t="str">
        <f t="shared" si="16"/>
        <v>OH</v>
      </c>
      <c r="G328" s="1" t="str">
        <f t="shared" si="17"/>
        <v>Likely Match</v>
      </c>
    </row>
    <row r="329" spans="1:7" hidden="1" x14ac:dyDescent="0.35">
      <c r="A329" s="1" t="s">
        <v>730</v>
      </c>
      <c r="B329" s="1" t="s">
        <v>347</v>
      </c>
      <c r="C329" s="1" t="s">
        <v>1298</v>
      </c>
      <c r="D329" s="1" t="str">
        <f t="shared" si="15"/>
        <v>Staunton</v>
      </c>
      <c r="E329" s="1" t="str">
        <f>IFERROR(INDEX(Census_Metro_List!$A:$A,MATCH(D329&amp;"*",Census_Metro_List!$A:$A,0)),"No Match")</f>
        <v>Staunton-Stuarts Draft, VA Metro Area</v>
      </c>
      <c r="F329" s="1" t="str">
        <f t="shared" si="16"/>
        <v>VA</v>
      </c>
      <c r="G329" s="1" t="str">
        <f t="shared" si="17"/>
        <v>Likely Match</v>
      </c>
    </row>
    <row r="330" spans="1:7" hidden="1" x14ac:dyDescent="0.35">
      <c r="A330" s="1" t="s">
        <v>731</v>
      </c>
      <c r="B330" s="1"/>
      <c r="C330" s="1" t="s">
        <v>1299</v>
      </c>
      <c r="D330" s="1" t="str">
        <f t="shared" si="15"/>
        <v>Augusta</v>
      </c>
      <c r="E330" s="1" t="str">
        <f>IFERROR(INDEX(Census_Metro_List!$A:$A,MATCH(D330&amp;"*",Census_Metro_List!$A:$A,0)),"No Match")</f>
        <v>Augusta-Richmond County, GA-SC Metro Area</v>
      </c>
      <c r="F330" s="1" t="str">
        <f t="shared" si="16"/>
        <v>ME</v>
      </c>
      <c r="G330" s="1" t="str">
        <f t="shared" si="17"/>
        <v>Likely Match</v>
      </c>
    </row>
    <row r="331" spans="1:7" hidden="1" x14ac:dyDescent="0.35">
      <c r="A331" s="1" t="s">
        <v>732</v>
      </c>
      <c r="B331" s="1" t="s">
        <v>12</v>
      </c>
      <c r="C331" s="1" t="s">
        <v>1298</v>
      </c>
      <c r="D331" s="1" t="str">
        <f t="shared" si="15"/>
        <v>Altoona</v>
      </c>
      <c r="E331" s="1" t="str">
        <f>IFERROR(INDEX(Census_Metro_List!$A:$A,MATCH(D331&amp;"*",Census_Metro_List!$A:$A,0)),"No Match")</f>
        <v>Altoona, PA Metro Area</v>
      </c>
      <c r="F331" s="1" t="str">
        <f t="shared" si="16"/>
        <v>PA</v>
      </c>
      <c r="G331" s="1" t="str">
        <f t="shared" si="17"/>
        <v>Likely Match</v>
      </c>
    </row>
    <row r="332" spans="1:7" x14ac:dyDescent="0.35">
      <c r="A332" s="1" t="s">
        <v>733</v>
      </c>
      <c r="B332" s="1"/>
      <c r="C332" s="1" t="s">
        <v>1299</v>
      </c>
      <c r="D332" s="1" t="str">
        <f t="shared" si="15"/>
        <v>New Bern</v>
      </c>
      <c r="E332" s="1" t="str">
        <f>IFERROR(INDEX(Census_Metro_List!$A:$A,MATCH(D332&amp;"*",Census_Metro_List!$A:$A,0)),"No Match")</f>
        <v>No Match</v>
      </c>
      <c r="F332" s="1" t="str">
        <f t="shared" si="16"/>
        <v>NC</v>
      </c>
      <c r="G332" s="1" t="str">
        <f t="shared" si="17"/>
        <v>Review</v>
      </c>
    </row>
    <row r="333" spans="1:7" hidden="1" x14ac:dyDescent="0.35">
      <c r="A333" s="1" t="s">
        <v>734</v>
      </c>
      <c r="B333" s="1" t="s">
        <v>118</v>
      </c>
      <c r="C333" s="1" t="s">
        <v>1298</v>
      </c>
      <c r="D333" s="1" t="str">
        <f t="shared" si="15"/>
        <v>Farmington</v>
      </c>
      <c r="E333" s="1" t="str">
        <f>IFERROR(INDEX(Census_Metro_List!$A:$A,MATCH(D333&amp;"*",Census_Metro_List!$A:$A,0)),"No Match")</f>
        <v>Farmington, NM Metro Area</v>
      </c>
      <c r="F333" s="1" t="str">
        <f t="shared" si="16"/>
        <v>NM</v>
      </c>
      <c r="G333" s="1" t="str">
        <f t="shared" si="17"/>
        <v>Likely Match</v>
      </c>
    </row>
    <row r="334" spans="1:7" hidden="1" x14ac:dyDescent="0.35">
      <c r="A334" s="1" t="s">
        <v>735</v>
      </c>
      <c r="B334" s="1" t="s">
        <v>309</v>
      </c>
      <c r="C334" s="1" t="s">
        <v>1298</v>
      </c>
      <c r="D334" s="1" t="str">
        <f t="shared" si="15"/>
        <v>St. Joseph</v>
      </c>
      <c r="E334" s="1" t="str">
        <f>IFERROR(INDEX(Census_Metro_List!$A:$A,MATCH(D334&amp;"*",Census_Metro_List!$A:$A,0)),"No Match")</f>
        <v>St. Joseph, MO-KS Metro Area</v>
      </c>
      <c r="F334" s="1" t="str">
        <f t="shared" si="16"/>
        <v>MO</v>
      </c>
      <c r="G334" s="1" t="str">
        <f t="shared" si="17"/>
        <v>Likely Match</v>
      </c>
    </row>
    <row r="335" spans="1:7" hidden="1" x14ac:dyDescent="0.35">
      <c r="A335" s="1" t="s">
        <v>736</v>
      </c>
      <c r="B335" s="1" t="s">
        <v>315</v>
      </c>
      <c r="C335" s="1" t="s">
        <v>1298</v>
      </c>
      <c r="D335" s="1" t="str">
        <f t="shared" si="15"/>
        <v>San Angelo</v>
      </c>
      <c r="E335" s="1" t="str">
        <f>IFERROR(INDEX(Census_Metro_List!$A:$A,MATCH(D335&amp;"*",Census_Metro_List!$A:$A,0)),"No Match")</f>
        <v>San Angelo, TX Metro Area</v>
      </c>
      <c r="F335" s="1" t="str">
        <f t="shared" si="16"/>
        <v>TX</v>
      </c>
      <c r="G335" s="1" t="str">
        <f t="shared" si="17"/>
        <v>Likely Match</v>
      </c>
    </row>
    <row r="336" spans="1:7" hidden="1" x14ac:dyDescent="0.35">
      <c r="A336" s="1" t="s">
        <v>737</v>
      </c>
      <c r="B336" s="1" t="s">
        <v>381</v>
      </c>
      <c r="C336" s="1" t="s">
        <v>1298</v>
      </c>
      <c r="D336" s="1" t="str">
        <f t="shared" si="15"/>
        <v>Wenatchee</v>
      </c>
      <c r="E336" s="1" t="str">
        <f>IFERROR(INDEX(Census_Metro_List!$A:$A,MATCH(D336&amp;"*",Census_Metro_List!$A:$A,0)),"No Match")</f>
        <v>Wenatchee-East Wenatchee, WA Metro Area</v>
      </c>
      <c r="F336" s="1" t="str">
        <f t="shared" si="16"/>
        <v>WA</v>
      </c>
      <c r="G336" s="1" t="str">
        <f t="shared" si="17"/>
        <v>Likely Match</v>
      </c>
    </row>
    <row r="337" spans="1:7" hidden="1" x14ac:dyDescent="0.35">
      <c r="A337" s="1" t="s">
        <v>738</v>
      </c>
      <c r="B337" s="1" t="s">
        <v>268</v>
      </c>
      <c r="C337" s="1" t="s">
        <v>1298</v>
      </c>
      <c r="D337" s="1" t="str">
        <f t="shared" si="15"/>
        <v>Owensboro</v>
      </c>
      <c r="E337" s="1" t="str">
        <f>IFERROR(INDEX(Census_Metro_List!$A:$A,MATCH(D337&amp;"*",Census_Metro_List!$A:$A,0)),"No Match")</f>
        <v>Owensboro, KY Metro Area</v>
      </c>
      <c r="F337" s="1" t="str">
        <f t="shared" si="16"/>
        <v>KY</v>
      </c>
      <c r="G337" s="1" t="str">
        <f t="shared" si="17"/>
        <v>Likely Match</v>
      </c>
    </row>
    <row r="338" spans="1:7" x14ac:dyDescent="0.35">
      <c r="A338" s="1" t="s">
        <v>739</v>
      </c>
      <c r="B338" s="1"/>
      <c r="C338" s="1" t="s">
        <v>1299</v>
      </c>
      <c r="D338" s="1" t="str">
        <f t="shared" si="15"/>
        <v>Holland</v>
      </c>
      <c r="E338" s="1" t="str">
        <f>IFERROR(INDEX(Census_Metro_List!$A:$A,MATCH(D338&amp;"*",Census_Metro_List!$A:$A,0)),"No Match")</f>
        <v>No Match</v>
      </c>
      <c r="F338" s="1" t="str">
        <f t="shared" si="16"/>
        <v>MI</v>
      </c>
      <c r="G338" s="1" t="str">
        <f t="shared" si="17"/>
        <v>Review</v>
      </c>
    </row>
    <row r="339" spans="1:7" x14ac:dyDescent="0.35">
      <c r="A339" s="1" t="s">
        <v>740</v>
      </c>
      <c r="B339" s="1"/>
      <c r="C339" s="1" t="s">
        <v>1299</v>
      </c>
      <c r="D339" s="1" t="str">
        <f t="shared" si="15"/>
        <v>Lumberton</v>
      </c>
      <c r="E339" s="1" t="str">
        <f>IFERROR(INDEX(Census_Metro_List!$A:$A,MATCH(D339&amp;"*",Census_Metro_List!$A:$A,0)),"No Match")</f>
        <v>No Match</v>
      </c>
      <c r="F339" s="1" t="str">
        <f t="shared" si="16"/>
        <v>NC</v>
      </c>
      <c r="G339" s="1" t="str">
        <f t="shared" si="17"/>
        <v>Review</v>
      </c>
    </row>
    <row r="340" spans="1:7" hidden="1" x14ac:dyDescent="0.35">
      <c r="A340" s="1" t="s">
        <v>741</v>
      </c>
      <c r="B340" s="1" t="s">
        <v>204</v>
      </c>
      <c r="C340" s="1" t="s">
        <v>1298</v>
      </c>
      <c r="D340" s="1" t="str">
        <f t="shared" si="15"/>
        <v>Lawrence</v>
      </c>
      <c r="E340" s="1" t="str">
        <f>IFERROR(INDEX(Census_Metro_List!$A:$A,MATCH(D340&amp;"*",Census_Metro_List!$A:$A,0)),"No Match")</f>
        <v>Lawrence, KS Metro Area</v>
      </c>
      <c r="F340" s="1" t="str">
        <f t="shared" si="16"/>
        <v>KS</v>
      </c>
      <c r="G340" s="1" t="str">
        <f t="shared" si="17"/>
        <v>Likely Match</v>
      </c>
    </row>
    <row r="341" spans="1:7" hidden="1" x14ac:dyDescent="0.35">
      <c r="A341" s="1" t="s">
        <v>742</v>
      </c>
      <c r="B341" s="1" t="s">
        <v>135</v>
      </c>
      <c r="C341" s="1" t="s">
        <v>1298</v>
      </c>
      <c r="D341" s="1" t="str">
        <f t="shared" si="15"/>
        <v>Goldsboro</v>
      </c>
      <c r="E341" s="1" t="str">
        <f>IFERROR(INDEX(Census_Metro_List!$A:$A,MATCH(D341&amp;"*",Census_Metro_List!$A:$A,0)),"No Match")</f>
        <v>Goldsboro, NC Metro Area</v>
      </c>
      <c r="F341" s="1" t="str">
        <f t="shared" si="16"/>
        <v>NC</v>
      </c>
      <c r="G341" s="1" t="str">
        <f t="shared" si="17"/>
        <v>Likely Match</v>
      </c>
    </row>
    <row r="342" spans="1:7" hidden="1" x14ac:dyDescent="0.35">
      <c r="A342" s="1" t="s">
        <v>743</v>
      </c>
      <c r="B342" s="1" t="s">
        <v>378</v>
      </c>
      <c r="C342" s="1" t="s">
        <v>1298</v>
      </c>
      <c r="D342" s="1" t="str">
        <f t="shared" si="15"/>
        <v>Watertown</v>
      </c>
      <c r="E342" s="1" t="str">
        <f>IFERROR(INDEX(Census_Metro_List!$A:$A,MATCH(D342&amp;"*",Census_Metro_List!$A:$A,0)),"No Match")</f>
        <v>Watertown-Fort Drum, NY Metro Area</v>
      </c>
      <c r="F342" s="1" t="str">
        <f t="shared" si="16"/>
        <v>NY</v>
      </c>
      <c r="G342" s="1" t="str">
        <f t="shared" si="17"/>
        <v>Likely Match</v>
      </c>
    </row>
    <row r="343" spans="1:7" hidden="1" x14ac:dyDescent="0.35">
      <c r="A343" s="1" t="s">
        <v>744</v>
      </c>
      <c r="B343" s="1" t="s">
        <v>332</v>
      </c>
      <c r="C343" s="1" t="s">
        <v>1298</v>
      </c>
      <c r="D343" s="1" t="str">
        <f t="shared" si="15"/>
        <v>Sheboygan</v>
      </c>
      <c r="E343" s="1" t="str">
        <f>IFERROR(INDEX(Census_Metro_List!$A:$A,MATCH(D343&amp;"*",Census_Metro_List!$A:$A,0)),"No Match")</f>
        <v>Sheboygan, WI Metro Area</v>
      </c>
      <c r="F343" s="1" t="str">
        <f t="shared" si="16"/>
        <v>WI</v>
      </c>
      <c r="G343" s="1" t="str">
        <f t="shared" si="17"/>
        <v>Likely Match</v>
      </c>
    </row>
    <row r="344" spans="1:7" hidden="1" x14ac:dyDescent="0.35">
      <c r="A344" s="1" t="s">
        <v>745</v>
      </c>
      <c r="B344" s="1" t="s">
        <v>380</v>
      </c>
      <c r="C344" s="1" t="s">
        <v>1298</v>
      </c>
      <c r="D344" s="1" t="str">
        <f t="shared" si="15"/>
        <v>Weirton</v>
      </c>
      <c r="E344" s="1" t="str">
        <f>IFERROR(INDEX(Census_Metro_List!$A:$A,MATCH(D344&amp;"*",Census_Metro_List!$A:$A,0)),"No Match")</f>
        <v>Weirton-Steubenville, WV-OH Metro Area</v>
      </c>
      <c r="F344" s="1" t="str">
        <f t="shared" si="16"/>
        <v>WV</v>
      </c>
      <c r="G344" s="1" t="str">
        <f t="shared" si="17"/>
        <v>Likely Match</v>
      </c>
    </row>
    <row r="345" spans="1:7" hidden="1" x14ac:dyDescent="0.35">
      <c r="A345" s="1" t="s">
        <v>746</v>
      </c>
      <c r="B345" s="1" t="s">
        <v>239</v>
      </c>
      <c r="C345" s="1" t="s">
        <v>1298</v>
      </c>
      <c r="D345" s="1" t="str">
        <f t="shared" si="15"/>
        <v>Missoula</v>
      </c>
      <c r="E345" s="1" t="str">
        <f>IFERROR(INDEX(Census_Metro_List!$A:$A,MATCH(D345&amp;"*",Census_Metro_List!$A:$A,0)),"No Match")</f>
        <v>Missoula, MT Metro Area</v>
      </c>
      <c r="F345" s="1" t="str">
        <f t="shared" si="16"/>
        <v>MT</v>
      </c>
      <c r="G345" s="1" t="str">
        <f t="shared" si="17"/>
        <v>Likely Match</v>
      </c>
    </row>
    <row r="346" spans="1:7" hidden="1" x14ac:dyDescent="0.35">
      <c r="A346" s="1" t="s">
        <v>747</v>
      </c>
      <c r="B346" s="1" t="s">
        <v>50</v>
      </c>
      <c r="C346" s="1" t="s">
        <v>1298</v>
      </c>
      <c r="D346" s="1" t="str">
        <f t="shared" si="15"/>
        <v>Bozeman</v>
      </c>
      <c r="E346" s="1" t="str">
        <f>IFERROR(INDEX(Census_Metro_List!$A:$A,MATCH(D346&amp;"*",Census_Metro_List!$A:$A,0)),"No Match")</f>
        <v>Bozeman, MT Metro Area</v>
      </c>
      <c r="F346" s="1" t="str">
        <f t="shared" si="16"/>
        <v>MT</v>
      </c>
      <c r="G346" s="1" t="str">
        <f t="shared" si="17"/>
        <v>Likely Match</v>
      </c>
    </row>
    <row r="347" spans="1:7" hidden="1" x14ac:dyDescent="0.35">
      <c r="A347" s="1" t="s">
        <v>748</v>
      </c>
      <c r="B347" s="1" t="s">
        <v>18</v>
      </c>
      <c r="C347" s="1" t="s">
        <v>1298</v>
      </c>
      <c r="D347" s="1" t="str">
        <f t="shared" si="15"/>
        <v>Anniston</v>
      </c>
      <c r="E347" s="1" t="str">
        <f>IFERROR(INDEX(Census_Metro_List!$A:$A,MATCH(D347&amp;"*",Census_Metro_List!$A:$A,0)),"No Match")</f>
        <v>Anniston-Oxford, AL Metro Area</v>
      </c>
      <c r="F347" s="1" t="str">
        <f t="shared" si="16"/>
        <v>AL</v>
      </c>
      <c r="G347" s="1" t="str">
        <f t="shared" si="17"/>
        <v>Likely Match</v>
      </c>
    </row>
    <row r="348" spans="1:7" hidden="1" x14ac:dyDescent="0.35">
      <c r="A348" s="1" t="s">
        <v>749</v>
      </c>
      <c r="B348" s="1" t="s">
        <v>36</v>
      </c>
      <c r="C348" s="1" t="s">
        <v>1298</v>
      </c>
      <c r="D348" s="1" t="str">
        <f t="shared" si="15"/>
        <v>Beckley</v>
      </c>
      <c r="E348" s="1" t="str">
        <f>IFERROR(INDEX(Census_Metro_List!$A:$A,MATCH(D348&amp;"*",Census_Metro_List!$A:$A,0)),"No Match")</f>
        <v>Beckley, WV Metro Area</v>
      </c>
      <c r="F348" s="1" t="str">
        <f t="shared" si="16"/>
        <v>WV</v>
      </c>
      <c r="G348" s="1" t="str">
        <f t="shared" si="17"/>
        <v>Likely Match</v>
      </c>
    </row>
    <row r="349" spans="1:7" hidden="1" x14ac:dyDescent="0.35">
      <c r="A349" s="1" t="s">
        <v>750</v>
      </c>
      <c r="B349" s="1" t="s">
        <v>386</v>
      </c>
      <c r="C349" s="1" t="s">
        <v>1298</v>
      </c>
      <c r="D349" s="1" t="str">
        <f t="shared" si="15"/>
        <v>Williamsport</v>
      </c>
      <c r="E349" s="1" t="str">
        <f>IFERROR(INDEX(Census_Metro_List!$A:$A,MATCH(D349&amp;"*",Census_Metro_List!$A:$A,0)),"No Match")</f>
        <v>Williamsport, PA Metro Area</v>
      </c>
      <c r="F349" s="1" t="str">
        <f t="shared" si="16"/>
        <v>PA</v>
      </c>
      <c r="G349" s="1" t="str">
        <f t="shared" si="17"/>
        <v>Likely Match</v>
      </c>
    </row>
    <row r="350" spans="1:7" hidden="1" x14ac:dyDescent="0.35">
      <c r="A350" s="1" t="s">
        <v>751</v>
      </c>
      <c r="B350" s="1" t="s">
        <v>54</v>
      </c>
      <c r="C350" s="1" t="s">
        <v>1298</v>
      </c>
      <c r="D350" s="1" t="str">
        <f t="shared" si="15"/>
        <v>Brunswick</v>
      </c>
      <c r="E350" s="1" t="str">
        <f>IFERROR(INDEX(Census_Metro_List!$A:$A,MATCH(D350&amp;"*",Census_Metro_List!$A:$A,0)),"No Match")</f>
        <v>Brunswick-St. Simons, GA Metro Area</v>
      </c>
      <c r="F350" s="1" t="str">
        <f t="shared" si="16"/>
        <v>GA</v>
      </c>
      <c r="G350" s="1" t="str">
        <f t="shared" si="17"/>
        <v>Likely Match</v>
      </c>
    </row>
    <row r="351" spans="1:7" x14ac:dyDescent="0.35">
      <c r="A351" s="1" t="s">
        <v>752</v>
      </c>
      <c r="B351" s="1"/>
      <c r="C351" s="1" t="s">
        <v>1299</v>
      </c>
      <c r="D351" s="1" t="str">
        <f t="shared" si="15"/>
        <v>California</v>
      </c>
      <c r="E351" s="1" t="str">
        <f>IFERROR(INDEX(Census_Metro_List!$A:$A,MATCH(D351&amp;"*",Census_Metro_List!$A:$A,0)),"No Match")</f>
        <v>No Match</v>
      </c>
      <c r="F351" s="1" t="str">
        <f t="shared" si="16"/>
        <v>MD</v>
      </c>
      <c r="G351" s="1" t="str">
        <f t="shared" si="17"/>
        <v>Review</v>
      </c>
    </row>
    <row r="352" spans="1:7" hidden="1" x14ac:dyDescent="0.35">
      <c r="A352" s="1" t="s">
        <v>753</v>
      </c>
      <c r="B352" s="1" t="s">
        <v>362</v>
      </c>
      <c r="C352" s="1" t="s">
        <v>1298</v>
      </c>
      <c r="D352" s="1" t="str">
        <f t="shared" si="15"/>
        <v>Twin Falls</v>
      </c>
      <c r="E352" s="1" t="str">
        <f>IFERROR(INDEX(Census_Metro_List!$A:$A,MATCH(D352&amp;"*",Census_Metro_List!$A:$A,0)),"No Match")</f>
        <v>Twin Falls, ID Metro Area</v>
      </c>
      <c r="F352" s="1" t="str">
        <f t="shared" si="16"/>
        <v>ID</v>
      </c>
      <c r="G352" s="1" t="str">
        <f t="shared" si="17"/>
        <v>Likely Match</v>
      </c>
    </row>
    <row r="353" spans="1:7" x14ac:dyDescent="0.35">
      <c r="A353" s="1" t="s">
        <v>754</v>
      </c>
      <c r="B353" s="1"/>
      <c r="C353" s="1" t="s">
        <v>1299</v>
      </c>
      <c r="D353" s="1" t="str">
        <f t="shared" si="15"/>
        <v>Cookeville</v>
      </c>
      <c r="E353" s="1" t="str">
        <f>IFERROR(INDEX(Census_Metro_List!$A:$A,MATCH(D353&amp;"*",Census_Metro_List!$A:$A,0)),"No Match")</f>
        <v>No Match</v>
      </c>
      <c r="F353" s="1" t="str">
        <f t="shared" si="16"/>
        <v>TN</v>
      </c>
      <c r="G353" s="1" t="str">
        <f t="shared" si="17"/>
        <v>Review</v>
      </c>
    </row>
    <row r="354" spans="1:7" hidden="1" x14ac:dyDescent="0.35">
      <c r="A354" s="1" t="s">
        <v>755</v>
      </c>
      <c r="B354" s="1" t="s">
        <v>248</v>
      </c>
      <c r="C354" s="1" t="s">
        <v>1298</v>
      </c>
      <c r="D354" s="1" t="str">
        <f t="shared" si="15"/>
        <v>Muncie</v>
      </c>
      <c r="E354" s="1" t="str">
        <f>IFERROR(INDEX(Census_Metro_List!$A:$A,MATCH(D354&amp;"*",Census_Metro_List!$A:$A,0)),"No Match")</f>
        <v>Muncie, IN Metro Area</v>
      </c>
      <c r="F354" s="1" t="str">
        <f t="shared" si="16"/>
        <v>IN</v>
      </c>
      <c r="G354" s="1" t="str">
        <f t="shared" si="17"/>
        <v>Likely Match</v>
      </c>
    </row>
    <row r="355" spans="1:7" hidden="1" x14ac:dyDescent="0.35">
      <c r="A355" s="1" t="s">
        <v>756</v>
      </c>
      <c r="B355" s="1" t="s">
        <v>233</v>
      </c>
      <c r="C355" s="1" t="s">
        <v>1298</v>
      </c>
      <c r="D355" s="1" t="str">
        <f t="shared" si="15"/>
        <v>Michigan City</v>
      </c>
      <c r="E355" s="1" t="str">
        <f>IFERROR(INDEX(Census_Metro_List!$A:$A,MATCH(D355&amp;"*",Census_Metro_List!$A:$A,0)),"No Match")</f>
        <v>Michigan City-La Porte, IN Metro Area</v>
      </c>
      <c r="F355" s="1" t="str">
        <f t="shared" si="16"/>
        <v>IN</v>
      </c>
      <c r="G355" s="1" t="str">
        <f t="shared" si="17"/>
        <v>Likely Match</v>
      </c>
    </row>
    <row r="356" spans="1:7" x14ac:dyDescent="0.35">
      <c r="A356" s="1" t="s">
        <v>757</v>
      </c>
      <c r="B356" s="1"/>
      <c r="C356" s="1" t="s">
        <v>1299</v>
      </c>
      <c r="D356" s="1" t="str">
        <f t="shared" si="15"/>
        <v>Roseburg</v>
      </c>
      <c r="E356" s="1" t="str">
        <f>IFERROR(INDEX(Census_Metro_List!$A:$A,MATCH(D356&amp;"*",Census_Metro_List!$A:$A,0)),"No Match")</f>
        <v>No Match</v>
      </c>
      <c r="F356" s="1" t="str">
        <f t="shared" si="16"/>
        <v>OR</v>
      </c>
      <c r="G356" s="1" t="str">
        <f t="shared" si="17"/>
        <v>Review</v>
      </c>
    </row>
    <row r="357" spans="1:7" hidden="1" x14ac:dyDescent="0.35">
      <c r="A357" s="1" t="s">
        <v>758</v>
      </c>
      <c r="B357" s="1" t="s">
        <v>208</v>
      </c>
      <c r="C357" s="1" t="s">
        <v>1298</v>
      </c>
      <c r="D357" s="1" t="str">
        <f t="shared" si="15"/>
        <v>Lewiston</v>
      </c>
      <c r="E357" s="1" t="str">
        <f>IFERROR(INDEX(Census_Metro_List!$A:$A,MATCH(D357&amp;"*",Census_Metro_List!$A:$A,0)),"No Match")</f>
        <v>Lewiston, ID-WA Metro Area</v>
      </c>
      <c r="F357" s="1" t="str">
        <f t="shared" si="16"/>
        <v>ME</v>
      </c>
      <c r="G357" s="1" t="str">
        <f t="shared" si="17"/>
        <v>Likely Match</v>
      </c>
    </row>
    <row r="358" spans="1:7" x14ac:dyDescent="0.35">
      <c r="A358" s="1" t="s">
        <v>759</v>
      </c>
      <c r="B358" s="1" t="s">
        <v>216</v>
      </c>
      <c r="C358" s="1" t="s">
        <v>1298</v>
      </c>
      <c r="D358" s="1" t="str">
        <f t="shared" si="15"/>
        <v>Longview</v>
      </c>
      <c r="E358" s="1" t="str">
        <f>IFERROR(INDEX(Census_Metro_List!$A:$A,MATCH(D358&amp;"*",Census_Metro_List!$A:$A,0)),"No Match")</f>
        <v>Longview, TX Metro Area</v>
      </c>
      <c r="F358" s="1" t="str">
        <f t="shared" si="16"/>
        <v>WA</v>
      </c>
      <c r="G358" s="1" t="str">
        <f t="shared" si="17"/>
        <v>Review</v>
      </c>
    </row>
    <row r="359" spans="1:7" x14ac:dyDescent="0.35">
      <c r="A359" s="1" t="s">
        <v>760</v>
      </c>
      <c r="B359" s="1"/>
      <c r="C359" s="1" t="s">
        <v>1299</v>
      </c>
      <c r="D359" s="1" t="str">
        <f t="shared" si="15"/>
        <v>Ogdensburg</v>
      </c>
      <c r="E359" s="1" t="str">
        <f>IFERROR(INDEX(Census_Metro_List!$A:$A,MATCH(D359&amp;"*",Census_Metro_List!$A:$A,0)),"No Match")</f>
        <v>No Match</v>
      </c>
      <c r="F359" s="1" t="str">
        <f t="shared" si="16"/>
        <v>NY</v>
      </c>
      <c r="G359" s="1" t="str">
        <f t="shared" si="17"/>
        <v>Review</v>
      </c>
    </row>
    <row r="360" spans="1:7" hidden="1" x14ac:dyDescent="0.35">
      <c r="A360" s="1" t="s">
        <v>761</v>
      </c>
      <c r="B360" s="1" t="s">
        <v>183</v>
      </c>
      <c r="C360" s="1" t="s">
        <v>1298</v>
      </c>
      <c r="D360" s="1" t="str">
        <f t="shared" si="15"/>
        <v>Kankakee</v>
      </c>
      <c r="E360" s="1" t="str">
        <f>IFERROR(INDEX(Census_Metro_List!$A:$A,MATCH(D360&amp;"*",Census_Metro_List!$A:$A,0)),"No Match")</f>
        <v>Kankakee, IL Metro Area</v>
      </c>
      <c r="F360" s="1" t="str">
        <f t="shared" si="16"/>
        <v>IL</v>
      </c>
      <c r="G360" s="1" t="str">
        <f t="shared" si="17"/>
        <v>Likely Match</v>
      </c>
    </row>
    <row r="361" spans="1:7" x14ac:dyDescent="0.35">
      <c r="A361" s="1" t="s">
        <v>762</v>
      </c>
      <c r="B361" s="1"/>
      <c r="C361" s="1" t="s">
        <v>1299</v>
      </c>
      <c r="D361" s="1" t="str">
        <f t="shared" si="15"/>
        <v>Bluefield</v>
      </c>
      <c r="E361" s="1" t="str">
        <f>IFERROR(INDEX(Census_Metro_List!$A:$A,MATCH(D361&amp;"*",Census_Metro_List!$A:$A,0)),"No Match")</f>
        <v>No Match</v>
      </c>
      <c r="F361" s="1" t="str">
        <f t="shared" si="16"/>
        <v>WV</v>
      </c>
      <c r="G361" s="1" t="str">
        <f t="shared" si="17"/>
        <v>Review</v>
      </c>
    </row>
    <row r="362" spans="1:7" x14ac:dyDescent="0.35">
      <c r="A362" s="1" t="s">
        <v>763</v>
      </c>
      <c r="B362" s="1"/>
      <c r="C362" s="1" t="s">
        <v>1299</v>
      </c>
      <c r="D362" s="1" t="str">
        <f t="shared" si="15"/>
        <v>Show Low</v>
      </c>
      <c r="E362" s="1" t="str">
        <f>IFERROR(INDEX(Census_Metro_List!$A:$A,MATCH(D362&amp;"*",Census_Metro_List!$A:$A,0)),"No Match")</f>
        <v>No Match</v>
      </c>
      <c r="F362" s="1" t="str">
        <f t="shared" si="16"/>
        <v>AZ</v>
      </c>
      <c r="G362" s="1" t="str">
        <f t="shared" si="17"/>
        <v>Review</v>
      </c>
    </row>
    <row r="363" spans="1:7" x14ac:dyDescent="0.35">
      <c r="A363" s="1" t="s">
        <v>764</v>
      </c>
      <c r="B363" s="1"/>
      <c r="C363" s="1" t="s">
        <v>1299</v>
      </c>
      <c r="D363" s="1" t="str">
        <f t="shared" si="15"/>
        <v>Richmond</v>
      </c>
      <c r="E363" s="1" t="str">
        <f>IFERROR(INDEX(Census_Metro_List!$A:$A,MATCH(D363&amp;"*",Census_Metro_List!$A:$A,0)),"No Match")</f>
        <v>Richmond, VA Metro Area</v>
      </c>
      <c r="F363" s="1" t="str">
        <f t="shared" si="16"/>
        <v>KY</v>
      </c>
      <c r="G363" s="1" t="str">
        <f t="shared" si="17"/>
        <v>Review</v>
      </c>
    </row>
    <row r="364" spans="1:7" x14ac:dyDescent="0.35">
      <c r="A364" s="1" t="s">
        <v>765</v>
      </c>
      <c r="B364" s="1"/>
      <c r="C364" s="1" t="s">
        <v>1299</v>
      </c>
      <c r="D364" s="1" t="str">
        <f t="shared" si="15"/>
        <v>Tullahoma</v>
      </c>
      <c r="E364" s="1" t="str">
        <f>IFERROR(INDEX(Census_Metro_List!$A:$A,MATCH(D364&amp;"*",Census_Metro_List!$A:$A,0)),"No Match")</f>
        <v>No Match</v>
      </c>
      <c r="F364" s="1" t="str">
        <f t="shared" si="16"/>
        <v>TN</v>
      </c>
      <c r="G364" s="1" t="str">
        <f t="shared" si="17"/>
        <v>Review</v>
      </c>
    </row>
    <row r="365" spans="1:7" x14ac:dyDescent="0.35">
      <c r="A365" s="1" t="s">
        <v>766</v>
      </c>
      <c r="B365" s="1"/>
      <c r="C365" s="1" t="s">
        <v>1299</v>
      </c>
      <c r="D365" s="1" t="str">
        <f t="shared" si="15"/>
        <v>Whitewater</v>
      </c>
      <c r="E365" s="1" t="str">
        <f>IFERROR(INDEX(Census_Metro_List!$A:$A,MATCH(D365&amp;"*",Census_Metro_List!$A:$A,0)),"No Match")</f>
        <v>No Match</v>
      </c>
      <c r="F365" s="1" t="str">
        <f t="shared" si="16"/>
        <v>WI</v>
      </c>
      <c r="G365" s="1" t="str">
        <f t="shared" si="17"/>
        <v>Review</v>
      </c>
    </row>
    <row r="366" spans="1:7" hidden="1" x14ac:dyDescent="0.35">
      <c r="A366" s="1" t="s">
        <v>767</v>
      </c>
      <c r="B366" s="1" t="s">
        <v>169</v>
      </c>
      <c r="C366" s="1" t="s">
        <v>1298</v>
      </c>
      <c r="D366" s="1" t="str">
        <f t="shared" si="15"/>
        <v>Ithaca</v>
      </c>
      <c r="E366" s="1" t="str">
        <f>IFERROR(INDEX(Census_Metro_List!$A:$A,MATCH(D366&amp;"*",Census_Metro_List!$A:$A,0)),"No Match")</f>
        <v>Ithaca, NY Metro Area</v>
      </c>
      <c r="F366" s="1" t="str">
        <f t="shared" si="16"/>
        <v>NY</v>
      </c>
      <c r="G366" s="1" t="str">
        <f t="shared" si="17"/>
        <v>Likely Match</v>
      </c>
    </row>
    <row r="367" spans="1:7" hidden="1" x14ac:dyDescent="0.35">
      <c r="A367" s="1" t="s">
        <v>768</v>
      </c>
      <c r="B367" s="1" t="s">
        <v>136</v>
      </c>
      <c r="C367" s="1" t="s">
        <v>1298</v>
      </c>
      <c r="D367" s="1" t="str">
        <f t="shared" si="15"/>
        <v>Grand Forks</v>
      </c>
      <c r="E367" s="1" t="str">
        <f>IFERROR(INDEX(Census_Metro_List!$A:$A,MATCH(D367&amp;"*",Census_Metro_List!$A:$A,0)),"No Match")</f>
        <v>Grand Forks, ND-MN Metro Area</v>
      </c>
      <c r="F367" s="1" t="str">
        <f t="shared" si="16"/>
        <v>ND</v>
      </c>
      <c r="G367" s="1" t="str">
        <f t="shared" si="17"/>
        <v>Likely Match</v>
      </c>
    </row>
    <row r="368" spans="1:7" x14ac:dyDescent="0.35">
      <c r="A368" s="1" t="s">
        <v>769</v>
      </c>
      <c r="B368" s="1" t="s">
        <v>95</v>
      </c>
      <c r="C368" s="1" t="s">
        <v>1298</v>
      </c>
      <c r="D368" s="1" t="str">
        <f t="shared" si="15"/>
        <v>Decatur</v>
      </c>
      <c r="E368" s="1" t="str">
        <f>IFERROR(INDEX(Census_Metro_List!$A:$A,MATCH(D368&amp;"*",Census_Metro_List!$A:$A,0)),"No Match")</f>
        <v>Decatur, AL Metro Area</v>
      </c>
      <c r="F368" s="1" t="str">
        <f t="shared" si="16"/>
        <v>IL</v>
      </c>
      <c r="G368" s="1" t="str">
        <f t="shared" si="17"/>
        <v>Review</v>
      </c>
    </row>
    <row r="369" spans="1:7" x14ac:dyDescent="0.35">
      <c r="A369" s="1" t="s">
        <v>770</v>
      </c>
      <c r="B369" s="1"/>
      <c r="C369" s="1" t="s">
        <v>1299</v>
      </c>
      <c r="D369" s="1" t="str">
        <f t="shared" si="15"/>
        <v>LaGrange</v>
      </c>
      <c r="E369" s="1" t="str">
        <f>IFERROR(INDEX(Census_Metro_List!$A:$A,MATCH(D369&amp;"*",Census_Metro_List!$A:$A,0)),"No Match")</f>
        <v>No Match</v>
      </c>
      <c r="F369" s="1" t="str">
        <f t="shared" si="16"/>
        <v>GA</v>
      </c>
      <c r="G369" s="1" t="str">
        <f t="shared" si="17"/>
        <v>Review</v>
      </c>
    </row>
    <row r="370" spans="1:7" hidden="1" x14ac:dyDescent="0.35">
      <c r="A370" s="1" t="s">
        <v>771</v>
      </c>
      <c r="B370" s="1" t="s">
        <v>34</v>
      </c>
      <c r="C370" s="1" t="s">
        <v>1298</v>
      </c>
      <c r="D370" s="1" t="str">
        <f t="shared" si="15"/>
        <v>Bay City</v>
      </c>
      <c r="E370" s="1" t="str">
        <f>IFERROR(INDEX(Census_Metro_List!$A:$A,MATCH(D370&amp;"*",Census_Metro_List!$A:$A,0)),"No Match")</f>
        <v>Bay City, MI Metro Area</v>
      </c>
      <c r="F370" s="1" t="str">
        <f t="shared" si="16"/>
        <v>MI</v>
      </c>
      <c r="G370" s="1" t="str">
        <f t="shared" si="17"/>
        <v>Likely Match</v>
      </c>
    </row>
    <row r="371" spans="1:7" hidden="1" x14ac:dyDescent="0.35">
      <c r="A371" s="1" t="s">
        <v>772</v>
      </c>
      <c r="B371" s="1" t="s">
        <v>125</v>
      </c>
      <c r="C371" s="1" t="s">
        <v>1298</v>
      </c>
      <c r="D371" s="1" t="str">
        <f t="shared" si="15"/>
        <v>Fond du Lac</v>
      </c>
      <c r="E371" s="1" t="str">
        <f>IFERROR(INDEX(Census_Metro_List!$A:$A,MATCH(D371&amp;"*",Census_Metro_List!$A:$A,0)),"No Match")</f>
        <v>Fond du Lac, WI Metro Area</v>
      </c>
      <c r="F371" s="1" t="str">
        <f t="shared" si="16"/>
        <v>WI</v>
      </c>
      <c r="G371" s="1" t="str">
        <f t="shared" si="17"/>
        <v>Likely Match</v>
      </c>
    </row>
    <row r="372" spans="1:7" hidden="1" x14ac:dyDescent="0.35">
      <c r="A372" s="1" t="s">
        <v>773</v>
      </c>
      <c r="B372" s="1" t="s">
        <v>133</v>
      </c>
      <c r="C372" s="1" t="s">
        <v>1298</v>
      </c>
      <c r="D372" s="1" t="str">
        <f t="shared" si="15"/>
        <v>Gettysburg</v>
      </c>
      <c r="E372" s="1" t="str">
        <f>IFERROR(INDEX(Census_Metro_List!$A:$A,MATCH(D372&amp;"*",Census_Metro_List!$A:$A,0)),"No Match")</f>
        <v>Gettysburg, PA Metro Area</v>
      </c>
      <c r="F372" s="1" t="str">
        <f t="shared" si="16"/>
        <v>PA</v>
      </c>
      <c r="G372" s="1" t="str">
        <f t="shared" si="17"/>
        <v>Likely Match</v>
      </c>
    </row>
    <row r="373" spans="1:7" hidden="1" x14ac:dyDescent="0.35">
      <c r="A373" s="1" t="s">
        <v>774</v>
      </c>
      <c r="B373" s="1" t="s">
        <v>130</v>
      </c>
      <c r="C373" s="1" t="s">
        <v>1298</v>
      </c>
      <c r="D373" s="1" t="str">
        <f t="shared" si="15"/>
        <v>Gadsden</v>
      </c>
      <c r="E373" s="1" t="str">
        <f>IFERROR(INDEX(Census_Metro_List!$A:$A,MATCH(D373&amp;"*",Census_Metro_List!$A:$A,0)),"No Match")</f>
        <v>Gadsden, AL Metro Area</v>
      </c>
      <c r="F373" s="1" t="str">
        <f t="shared" si="16"/>
        <v>AL</v>
      </c>
      <c r="G373" s="1" t="str">
        <f t="shared" si="17"/>
        <v>Likely Match</v>
      </c>
    </row>
    <row r="374" spans="1:7" x14ac:dyDescent="0.35">
      <c r="A374" s="1" t="s">
        <v>775</v>
      </c>
      <c r="B374" s="1"/>
      <c r="C374" s="1" t="s">
        <v>1299</v>
      </c>
      <c r="D374" s="1" t="str">
        <f t="shared" si="15"/>
        <v>Kalispell</v>
      </c>
      <c r="E374" s="1" t="str">
        <f>IFERROR(INDEX(Census_Metro_List!$A:$A,MATCH(D374&amp;"*",Census_Metro_List!$A:$A,0)),"No Match")</f>
        <v>No Match</v>
      </c>
      <c r="F374" s="1" t="str">
        <f t="shared" si="16"/>
        <v>MT</v>
      </c>
      <c r="G374" s="1" t="str">
        <f t="shared" si="17"/>
        <v>Review</v>
      </c>
    </row>
    <row r="375" spans="1:7" x14ac:dyDescent="0.35">
      <c r="A375" s="1" t="s">
        <v>776</v>
      </c>
      <c r="B375" s="1"/>
      <c r="C375" s="1" t="s">
        <v>1299</v>
      </c>
      <c r="D375" s="1" t="str">
        <f t="shared" si="15"/>
        <v>Danville</v>
      </c>
      <c r="E375" s="1" t="str">
        <f>IFERROR(INDEX(Census_Metro_List!$A:$A,MATCH(D375&amp;"*",Census_Metro_List!$A:$A,0)),"No Match")</f>
        <v>No Match</v>
      </c>
      <c r="F375" s="1" t="str">
        <f t="shared" si="16"/>
        <v>VA</v>
      </c>
      <c r="G375" s="1" t="str">
        <f t="shared" si="17"/>
        <v>Review</v>
      </c>
    </row>
    <row r="376" spans="1:7" hidden="1" x14ac:dyDescent="0.35">
      <c r="A376" s="1" t="s">
        <v>777</v>
      </c>
      <c r="B376" s="1" t="s">
        <v>225</v>
      </c>
      <c r="C376" s="1" t="s">
        <v>1298</v>
      </c>
      <c r="D376" s="1" t="str">
        <f t="shared" si="15"/>
        <v>Mankato</v>
      </c>
      <c r="E376" s="1" t="str">
        <f>IFERROR(INDEX(Census_Metro_List!$A:$A,MATCH(D376&amp;"*",Census_Metro_List!$A:$A,0)),"No Match")</f>
        <v>Mankato, MN Metro Area</v>
      </c>
      <c r="F376" s="1" t="str">
        <f t="shared" si="16"/>
        <v>MN</v>
      </c>
      <c r="G376" s="1" t="str">
        <f t="shared" si="17"/>
        <v>Likely Match</v>
      </c>
    </row>
    <row r="377" spans="1:7" hidden="1" x14ac:dyDescent="0.35">
      <c r="A377" s="1" t="s">
        <v>778</v>
      </c>
      <c r="B377" s="1" t="s">
        <v>211</v>
      </c>
      <c r="C377" s="1" t="s">
        <v>1298</v>
      </c>
      <c r="D377" s="1" t="str">
        <f t="shared" si="15"/>
        <v>Lima</v>
      </c>
      <c r="E377" s="1" t="str">
        <f>IFERROR(INDEX(Census_Metro_List!$A:$A,MATCH(D377&amp;"*",Census_Metro_List!$A:$A,0)),"No Match")</f>
        <v>Lima, OH Metro Area</v>
      </c>
      <c r="F377" s="1" t="str">
        <f t="shared" si="16"/>
        <v>OH</v>
      </c>
      <c r="G377" s="1" t="str">
        <f t="shared" si="17"/>
        <v>Likely Match</v>
      </c>
    </row>
    <row r="378" spans="1:7" x14ac:dyDescent="0.35">
      <c r="A378" s="1" t="s">
        <v>779</v>
      </c>
      <c r="B378" s="1"/>
      <c r="C378" s="1" t="s">
        <v>1299</v>
      </c>
      <c r="D378" s="1" t="str">
        <f t="shared" si="15"/>
        <v>Salem</v>
      </c>
      <c r="E378" s="1" t="str">
        <f>IFERROR(INDEX(Census_Metro_List!$A:$A,MATCH(D378&amp;"*",Census_Metro_List!$A:$A,0)),"No Match")</f>
        <v>Salem, OR Metro Area</v>
      </c>
      <c r="F378" s="1" t="str">
        <f t="shared" si="16"/>
        <v>OH</v>
      </c>
      <c r="G378" s="1" t="str">
        <f t="shared" si="17"/>
        <v>Review</v>
      </c>
    </row>
    <row r="379" spans="1:7" x14ac:dyDescent="0.35">
      <c r="A379" s="1" t="s">
        <v>780</v>
      </c>
      <c r="B379" s="1"/>
      <c r="C379" s="1" t="s">
        <v>1299</v>
      </c>
      <c r="D379" s="1" t="str">
        <f t="shared" si="15"/>
        <v>Truckee</v>
      </c>
      <c r="E379" s="1" t="str">
        <f>IFERROR(INDEX(Census_Metro_List!$A:$A,MATCH(D379&amp;"*",Census_Metro_List!$A:$A,0)),"No Match")</f>
        <v>No Match</v>
      </c>
      <c r="F379" s="1" t="str">
        <f t="shared" si="16"/>
        <v>CA</v>
      </c>
      <c r="G379" s="1" t="str">
        <f t="shared" si="17"/>
        <v>Review</v>
      </c>
    </row>
    <row r="380" spans="1:7" hidden="1" x14ac:dyDescent="0.35">
      <c r="A380" s="1" t="s">
        <v>781</v>
      </c>
      <c r="B380" s="1" t="s">
        <v>331</v>
      </c>
      <c r="C380" s="1" t="s">
        <v>1298</v>
      </c>
      <c r="D380" s="1" t="str">
        <f t="shared" si="15"/>
        <v>Sebring</v>
      </c>
      <c r="E380" s="1" t="str">
        <f>IFERROR(INDEX(Census_Metro_List!$A:$A,MATCH(D380&amp;"*",Census_Metro_List!$A:$A,0)),"No Match")</f>
        <v>Sebring, FL Metro Area</v>
      </c>
      <c r="F380" s="1" t="str">
        <f t="shared" si="16"/>
        <v>FL</v>
      </c>
      <c r="G380" s="1" t="str">
        <f t="shared" si="17"/>
        <v>Likely Match</v>
      </c>
    </row>
    <row r="381" spans="1:7" hidden="1" x14ac:dyDescent="0.35">
      <c r="A381" s="1" t="s">
        <v>782</v>
      </c>
      <c r="B381" s="1" t="s">
        <v>71</v>
      </c>
      <c r="C381" s="1" t="s">
        <v>1298</v>
      </c>
      <c r="D381" s="1" t="str">
        <f t="shared" si="15"/>
        <v>Cheyenne</v>
      </c>
      <c r="E381" s="1" t="str">
        <f>IFERROR(INDEX(Census_Metro_List!$A:$A,MATCH(D381&amp;"*",Census_Metro_List!$A:$A,0)),"No Match")</f>
        <v>Cheyenne, WY Metro Area</v>
      </c>
      <c r="F381" s="1" t="str">
        <f t="shared" si="16"/>
        <v>WY</v>
      </c>
      <c r="G381" s="1" t="str">
        <f t="shared" si="17"/>
        <v>Likely Match</v>
      </c>
    </row>
    <row r="382" spans="1:7" hidden="1" x14ac:dyDescent="0.35">
      <c r="A382" s="1" t="s">
        <v>783</v>
      </c>
      <c r="B382" s="1" t="s">
        <v>161</v>
      </c>
      <c r="C382" s="1" t="s">
        <v>1298</v>
      </c>
      <c r="D382" s="1" t="str">
        <f t="shared" si="15"/>
        <v>Hot Springs</v>
      </c>
      <c r="E382" s="1" t="str">
        <f>IFERROR(INDEX(Census_Metro_List!$A:$A,MATCH(D382&amp;"*",Census_Metro_List!$A:$A,0)),"No Match")</f>
        <v>Hot Springs, AR Metro Area</v>
      </c>
      <c r="F382" s="1" t="str">
        <f t="shared" si="16"/>
        <v>AR</v>
      </c>
      <c r="G382" s="1" t="str">
        <f t="shared" si="17"/>
        <v>Likely Match</v>
      </c>
    </row>
    <row r="383" spans="1:7" x14ac:dyDescent="0.35">
      <c r="A383" s="1" t="s">
        <v>784</v>
      </c>
      <c r="B383" s="1"/>
      <c r="C383" s="1" t="s">
        <v>1299</v>
      </c>
      <c r="D383" s="1" t="str">
        <f t="shared" si="15"/>
        <v>Adrian</v>
      </c>
      <c r="E383" s="1" t="str">
        <f>IFERROR(INDEX(Census_Metro_List!$A:$A,MATCH(D383&amp;"*",Census_Metro_List!$A:$A,0)),"No Match")</f>
        <v>No Match</v>
      </c>
      <c r="F383" s="1" t="str">
        <f t="shared" si="16"/>
        <v>MI</v>
      </c>
      <c r="G383" s="1" t="str">
        <f t="shared" si="17"/>
        <v>Review</v>
      </c>
    </row>
    <row r="384" spans="1:7" x14ac:dyDescent="0.35">
      <c r="A384" s="1" t="s">
        <v>785</v>
      </c>
      <c r="B384" s="1"/>
      <c r="C384" s="1" t="s">
        <v>1299</v>
      </c>
      <c r="D384" s="1" t="str">
        <f t="shared" si="15"/>
        <v>Shelby</v>
      </c>
      <c r="E384" s="1" t="str">
        <f>IFERROR(INDEX(Census_Metro_List!$A:$A,MATCH(D384&amp;"*",Census_Metro_List!$A:$A,0)),"No Match")</f>
        <v>No Match</v>
      </c>
      <c r="F384" s="1" t="str">
        <f t="shared" si="16"/>
        <v>NC</v>
      </c>
      <c r="G384" s="1" t="str">
        <f t="shared" si="17"/>
        <v>Review</v>
      </c>
    </row>
    <row r="385" spans="1:7" hidden="1" x14ac:dyDescent="0.35">
      <c r="A385" s="1" t="s">
        <v>786</v>
      </c>
      <c r="B385" s="1" t="s">
        <v>102</v>
      </c>
      <c r="C385" s="1" t="s">
        <v>1298</v>
      </c>
      <c r="D385" s="1" t="str">
        <f t="shared" si="15"/>
        <v>Dubuque</v>
      </c>
      <c r="E385" s="1" t="str">
        <f>IFERROR(INDEX(Census_Metro_List!$A:$A,MATCH(D385&amp;"*",Census_Metro_List!$A:$A,0)),"No Match")</f>
        <v>Dubuque, IA Metro Area</v>
      </c>
      <c r="F385" s="1" t="str">
        <f t="shared" si="16"/>
        <v>IA</v>
      </c>
      <c r="G385" s="1" t="str">
        <f t="shared" si="17"/>
        <v>Likely Match</v>
      </c>
    </row>
    <row r="386" spans="1:7" x14ac:dyDescent="0.35">
      <c r="A386" s="1" t="s">
        <v>787</v>
      </c>
      <c r="B386" s="1"/>
      <c r="C386" s="1" t="s">
        <v>1299</v>
      </c>
      <c r="D386" s="1" t="str">
        <f t="shared" ref="D386:D449" si="18">LEFT(A386,FIND(",",A386)-1)</f>
        <v>Meridian</v>
      </c>
      <c r="E386" s="1" t="str">
        <f>IFERROR(INDEX(Census_Metro_List!$A:$A,MATCH(D386&amp;"*",Census_Metro_List!$A:$A,0)),"No Match")</f>
        <v>No Match</v>
      </c>
      <c r="F386" s="1" t="str">
        <f t="shared" ref="F386:F449" si="19">TRIM(RIGHT(A386,LEN(A386)-FIND(",",A386)))</f>
        <v>MS</v>
      </c>
      <c r="G386" s="1" t="str">
        <f t="shared" ref="G386:G449" si="20">IF(E386="No Match","Review",IF(ISNUMBER(SEARCH(F386,E386)),"Likely Match","Review"))</f>
        <v>Review</v>
      </c>
    </row>
    <row r="387" spans="1:7" hidden="1" x14ac:dyDescent="0.35">
      <c r="A387" s="1" t="s">
        <v>788</v>
      </c>
      <c r="B387" s="1" t="s">
        <v>278</v>
      </c>
      <c r="C387" s="1" t="s">
        <v>1298</v>
      </c>
      <c r="D387" s="1" t="str">
        <f t="shared" si="18"/>
        <v>Pinehurst</v>
      </c>
      <c r="E387" s="1" t="str">
        <f>IFERROR(INDEX(Census_Metro_List!$A:$A,MATCH(D387&amp;"*",Census_Metro_List!$A:$A,0)),"No Match")</f>
        <v>Pinehurst-Southern Pines, NC Metro Area</v>
      </c>
      <c r="F387" s="1" t="str">
        <f t="shared" si="19"/>
        <v>NC</v>
      </c>
      <c r="G387" s="1" t="str">
        <f t="shared" si="20"/>
        <v>Likely Match</v>
      </c>
    </row>
    <row r="388" spans="1:7" hidden="1" x14ac:dyDescent="0.35">
      <c r="A388" s="1" t="s">
        <v>789</v>
      </c>
      <c r="B388" s="1" t="s">
        <v>270</v>
      </c>
      <c r="C388" s="1" t="s">
        <v>1298</v>
      </c>
      <c r="D388" s="1" t="str">
        <f t="shared" si="18"/>
        <v>Paducah</v>
      </c>
      <c r="E388" s="1" t="str">
        <f>IFERROR(INDEX(Census_Metro_List!$A:$A,MATCH(D388&amp;"*",Census_Metro_List!$A:$A,0)),"No Match")</f>
        <v>Paducah, KY-IL Metro Area</v>
      </c>
      <c r="F388" s="1" t="str">
        <f t="shared" si="19"/>
        <v>KY</v>
      </c>
      <c r="G388" s="1" t="str">
        <f t="shared" si="20"/>
        <v>Likely Match</v>
      </c>
    </row>
    <row r="389" spans="1:7" hidden="1" x14ac:dyDescent="0.35">
      <c r="A389" s="1" t="s">
        <v>790</v>
      </c>
      <c r="B389" s="1" t="s">
        <v>368</v>
      </c>
      <c r="C389" s="1" t="s">
        <v>1298</v>
      </c>
      <c r="D389" s="1" t="str">
        <f t="shared" si="18"/>
        <v>Victoria</v>
      </c>
      <c r="E389" s="1" t="str">
        <f>IFERROR(INDEX(Census_Metro_List!$A:$A,MATCH(D389&amp;"*",Census_Metro_List!$A:$A,0)),"No Match")</f>
        <v>Victoria, TX Metro Area</v>
      </c>
      <c r="F389" s="1" t="str">
        <f t="shared" si="19"/>
        <v>TX</v>
      </c>
      <c r="G389" s="1" t="str">
        <f t="shared" si="20"/>
        <v>Likely Match</v>
      </c>
    </row>
    <row r="390" spans="1:7" hidden="1" x14ac:dyDescent="0.35">
      <c r="A390" s="1" t="s">
        <v>791</v>
      </c>
      <c r="B390" s="1" t="s">
        <v>304</v>
      </c>
      <c r="C390" s="1" t="s">
        <v>1298</v>
      </c>
      <c r="D390" s="1" t="str">
        <f t="shared" si="18"/>
        <v>Rome</v>
      </c>
      <c r="E390" s="1" t="str">
        <f>IFERROR(INDEX(Census_Metro_List!$A:$A,MATCH(D390&amp;"*",Census_Metro_List!$A:$A,0)),"No Match")</f>
        <v>Rome, GA Metro Area</v>
      </c>
      <c r="F390" s="1" t="str">
        <f t="shared" si="19"/>
        <v>GA</v>
      </c>
      <c r="G390" s="1" t="str">
        <f t="shared" si="20"/>
        <v>Likely Match</v>
      </c>
    </row>
    <row r="391" spans="1:7" x14ac:dyDescent="0.35">
      <c r="A391" s="1" t="s">
        <v>792</v>
      </c>
      <c r="B391" s="1"/>
      <c r="C391" s="1" t="s">
        <v>1299</v>
      </c>
      <c r="D391" s="1" t="str">
        <f t="shared" si="18"/>
        <v>Sevierville</v>
      </c>
      <c r="E391" s="1" t="str">
        <f>IFERROR(INDEX(Census_Metro_List!$A:$A,MATCH(D391&amp;"*",Census_Metro_List!$A:$A,0)),"No Match")</f>
        <v>No Match</v>
      </c>
      <c r="F391" s="1" t="str">
        <f t="shared" si="19"/>
        <v>TN</v>
      </c>
      <c r="G391" s="1" t="str">
        <f t="shared" si="20"/>
        <v>Review</v>
      </c>
    </row>
    <row r="392" spans="1:7" x14ac:dyDescent="0.35">
      <c r="A392" s="1" t="s">
        <v>793</v>
      </c>
      <c r="B392" s="1"/>
      <c r="C392" s="1" t="s">
        <v>1299</v>
      </c>
      <c r="D392" s="1" t="str">
        <f t="shared" si="18"/>
        <v>Moses Lake</v>
      </c>
      <c r="E392" s="1" t="str">
        <f>IFERROR(INDEX(Census_Metro_List!$A:$A,MATCH(D392&amp;"*",Census_Metro_List!$A:$A,0)),"No Match")</f>
        <v>No Match</v>
      </c>
      <c r="F392" s="1" t="str">
        <f t="shared" si="19"/>
        <v>WA</v>
      </c>
      <c r="G392" s="1" t="str">
        <f t="shared" si="20"/>
        <v>Review</v>
      </c>
    </row>
    <row r="393" spans="1:7" x14ac:dyDescent="0.35">
      <c r="A393" s="1" t="s">
        <v>794</v>
      </c>
      <c r="B393" s="1"/>
      <c r="C393" s="1" t="s">
        <v>1299</v>
      </c>
      <c r="D393" s="1" t="str">
        <f t="shared" si="18"/>
        <v>Ashtabula</v>
      </c>
      <c r="E393" s="1" t="str">
        <f>IFERROR(INDEX(Census_Metro_List!$A:$A,MATCH(D393&amp;"*",Census_Metro_List!$A:$A,0)),"No Match")</f>
        <v>No Match</v>
      </c>
      <c r="F393" s="1" t="str">
        <f t="shared" si="19"/>
        <v>OH</v>
      </c>
      <c r="G393" s="1" t="str">
        <f t="shared" si="20"/>
        <v>Review</v>
      </c>
    </row>
    <row r="394" spans="1:7" hidden="1" x14ac:dyDescent="0.35">
      <c r="A394" s="1" t="s">
        <v>795</v>
      </c>
      <c r="B394" s="1" t="s">
        <v>60</v>
      </c>
      <c r="C394" s="1" t="s">
        <v>1298</v>
      </c>
      <c r="D394" s="1" t="str">
        <f t="shared" si="18"/>
        <v>Cape Girardeau</v>
      </c>
      <c r="E394" s="1" t="str">
        <f>IFERROR(INDEX(Census_Metro_List!$A:$A,MATCH(D394&amp;"*",Census_Metro_List!$A:$A,0)),"No Match")</f>
        <v>Cape Girardeau, MO-IL Metro Area</v>
      </c>
      <c r="F394" s="1" t="str">
        <f t="shared" si="19"/>
        <v>MO</v>
      </c>
      <c r="G394" s="1" t="str">
        <f t="shared" si="20"/>
        <v>Likely Match</v>
      </c>
    </row>
    <row r="395" spans="1:7" x14ac:dyDescent="0.35">
      <c r="A395" s="1" t="s">
        <v>796</v>
      </c>
      <c r="B395" s="1"/>
      <c r="C395" s="1" t="s">
        <v>1299</v>
      </c>
      <c r="D395" s="1" t="str">
        <f t="shared" si="18"/>
        <v>Albertville</v>
      </c>
      <c r="E395" s="1" t="str">
        <f>IFERROR(INDEX(Census_Metro_List!$A:$A,MATCH(D395&amp;"*",Census_Metro_List!$A:$A,0)),"No Match")</f>
        <v>No Match</v>
      </c>
      <c r="F395" s="1" t="str">
        <f t="shared" si="19"/>
        <v>AL</v>
      </c>
      <c r="G395" s="1" t="str">
        <f t="shared" si="20"/>
        <v>Review</v>
      </c>
    </row>
    <row r="396" spans="1:7" hidden="1" x14ac:dyDescent="0.35">
      <c r="A396" s="1" t="s">
        <v>797</v>
      </c>
      <c r="B396" s="1" t="s">
        <v>116</v>
      </c>
      <c r="C396" s="1" t="s">
        <v>1298</v>
      </c>
      <c r="D396" s="1" t="str">
        <f t="shared" si="18"/>
        <v>Fairbanks</v>
      </c>
      <c r="E396" s="1" t="str">
        <f>IFERROR(INDEX(Census_Metro_List!$A:$A,MATCH(D396&amp;"*",Census_Metro_List!$A:$A,0)),"No Match")</f>
        <v>Fairbanks-College, AK Metro Area</v>
      </c>
      <c r="F396" s="1" t="str">
        <f t="shared" si="19"/>
        <v>AK</v>
      </c>
      <c r="G396" s="1" t="str">
        <f t="shared" si="20"/>
        <v>Likely Match</v>
      </c>
    </row>
    <row r="397" spans="1:7" x14ac:dyDescent="0.35">
      <c r="A397" s="1" t="s">
        <v>798</v>
      </c>
      <c r="B397" s="1"/>
      <c r="C397" s="1" t="s">
        <v>1299</v>
      </c>
      <c r="D397" s="1" t="str">
        <f t="shared" si="18"/>
        <v>Brainerd</v>
      </c>
      <c r="E397" s="1" t="str">
        <f>IFERROR(INDEX(Census_Metro_List!$A:$A,MATCH(D397&amp;"*",Census_Metro_List!$A:$A,0)),"No Match")</f>
        <v>No Match</v>
      </c>
      <c r="F397" s="1" t="str">
        <f t="shared" si="19"/>
        <v>MN</v>
      </c>
      <c r="G397" s="1" t="str">
        <f t="shared" si="20"/>
        <v>Review</v>
      </c>
    </row>
    <row r="398" spans="1:7" x14ac:dyDescent="0.35">
      <c r="A398" s="1" t="s">
        <v>799</v>
      </c>
      <c r="B398" s="1"/>
      <c r="C398" s="1" t="s">
        <v>1299</v>
      </c>
      <c r="D398" s="1" t="str">
        <f t="shared" si="18"/>
        <v>Cumberland</v>
      </c>
      <c r="E398" s="1" t="str">
        <f>IFERROR(INDEX(Census_Metro_List!$A:$A,MATCH(D398&amp;"*",Census_Metro_List!$A:$A,0)),"No Match")</f>
        <v>No Match</v>
      </c>
      <c r="F398" s="1" t="str">
        <f t="shared" si="19"/>
        <v>MD</v>
      </c>
      <c r="G398" s="1" t="str">
        <f t="shared" si="20"/>
        <v>Review</v>
      </c>
    </row>
    <row r="399" spans="1:7" x14ac:dyDescent="0.35">
      <c r="A399" s="1" t="s">
        <v>800</v>
      </c>
      <c r="B399" s="1"/>
      <c r="C399" s="1" t="s">
        <v>1299</v>
      </c>
      <c r="D399" s="1" t="str">
        <f t="shared" si="18"/>
        <v>Ocean City</v>
      </c>
      <c r="E399" s="1" t="str">
        <f>IFERROR(INDEX(Census_Metro_List!$A:$A,MATCH(D399&amp;"*",Census_Metro_List!$A:$A,0)),"No Match")</f>
        <v>No Match</v>
      </c>
      <c r="F399" s="1" t="str">
        <f t="shared" si="19"/>
        <v>NJ</v>
      </c>
      <c r="G399" s="1" t="str">
        <f t="shared" si="20"/>
        <v>Review</v>
      </c>
    </row>
    <row r="400" spans="1:7" hidden="1" x14ac:dyDescent="0.35">
      <c r="A400" s="1" t="s">
        <v>801</v>
      </c>
      <c r="B400" s="1" t="s">
        <v>87</v>
      </c>
      <c r="C400" s="1" t="s">
        <v>1298</v>
      </c>
      <c r="D400" s="1" t="str">
        <f t="shared" si="18"/>
        <v>Corvallis</v>
      </c>
      <c r="E400" s="1" t="str">
        <f>IFERROR(INDEX(Census_Metro_List!$A:$A,MATCH(D400&amp;"*",Census_Metro_List!$A:$A,0)),"No Match")</f>
        <v>Corvallis, OR Metro Area</v>
      </c>
      <c r="F400" s="1" t="str">
        <f t="shared" si="19"/>
        <v>OR</v>
      </c>
      <c r="G400" s="1" t="str">
        <f t="shared" si="20"/>
        <v>Likely Match</v>
      </c>
    </row>
    <row r="401" spans="1:7" hidden="1" x14ac:dyDescent="0.35">
      <c r="A401" s="1" t="s">
        <v>802</v>
      </c>
      <c r="B401" s="1" t="s">
        <v>281</v>
      </c>
      <c r="C401" s="1" t="s">
        <v>1298</v>
      </c>
      <c r="D401" s="1" t="str">
        <f t="shared" si="18"/>
        <v>Pocatello</v>
      </c>
      <c r="E401" s="1" t="str">
        <f>IFERROR(INDEX(Census_Metro_List!$A:$A,MATCH(D401&amp;"*",Census_Metro_List!$A:$A,0)),"No Match")</f>
        <v>Pocatello, ID Metro Area</v>
      </c>
      <c r="F401" s="1" t="str">
        <f t="shared" si="19"/>
        <v>ID</v>
      </c>
      <c r="G401" s="1" t="str">
        <f t="shared" si="20"/>
        <v>Likely Match</v>
      </c>
    </row>
    <row r="402" spans="1:7" x14ac:dyDescent="0.35">
      <c r="A402" s="1" t="s">
        <v>803</v>
      </c>
      <c r="B402" s="1"/>
      <c r="C402" s="1" t="s">
        <v>1299</v>
      </c>
      <c r="D402" s="1" t="str">
        <f t="shared" si="18"/>
        <v>Corning</v>
      </c>
      <c r="E402" s="1" t="str">
        <f>IFERROR(INDEX(Census_Metro_List!$A:$A,MATCH(D402&amp;"*",Census_Metro_List!$A:$A,0)),"No Match")</f>
        <v>No Match</v>
      </c>
      <c r="F402" s="1" t="str">
        <f t="shared" si="19"/>
        <v>NY</v>
      </c>
      <c r="G402" s="1" t="str">
        <f t="shared" si="20"/>
        <v>Review</v>
      </c>
    </row>
    <row r="403" spans="1:7" x14ac:dyDescent="0.35">
      <c r="A403" s="1" t="s">
        <v>804</v>
      </c>
      <c r="B403" s="1"/>
      <c r="C403" s="1" t="s">
        <v>1299</v>
      </c>
      <c r="D403" s="1" t="str">
        <f t="shared" si="18"/>
        <v>New Philadelphia</v>
      </c>
      <c r="E403" s="1" t="str">
        <f>IFERROR(INDEX(Census_Metro_List!$A:$A,MATCH(D403&amp;"*",Census_Metro_List!$A:$A,0)),"No Match")</f>
        <v>No Match</v>
      </c>
      <c r="F403" s="1" t="str">
        <f t="shared" si="19"/>
        <v>OH</v>
      </c>
      <c r="G403" s="1" t="str">
        <f t="shared" si="20"/>
        <v>Review</v>
      </c>
    </row>
    <row r="404" spans="1:7" x14ac:dyDescent="0.35">
      <c r="A404" s="1" t="s">
        <v>805</v>
      </c>
      <c r="B404" s="1"/>
      <c r="C404" s="1" t="s">
        <v>1299</v>
      </c>
      <c r="D404" s="1" t="str">
        <f t="shared" si="18"/>
        <v>Sunbury</v>
      </c>
      <c r="E404" s="1" t="str">
        <f>IFERROR(INDEX(Census_Metro_List!$A:$A,MATCH(D404&amp;"*",Census_Metro_List!$A:$A,0)),"No Match")</f>
        <v>No Match</v>
      </c>
      <c r="F404" s="1" t="str">
        <f t="shared" si="19"/>
        <v>PA</v>
      </c>
      <c r="G404" s="1" t="str">
        <f t="shared" si="20"/>
        <v>Review</v>
      </c>
    </row>
    <row r="405" spans="1:7" x14ac:dyDescent="0.35">
      <c r="A405" s="1" t="s">
        <v>806</v>
      </c>
      <c r="B405" s="1"/>
      <c r="C405" s="1" t="s">
        <v>1299</v>
      </c>
      <c r="D405" s="1" t="str">
        <f t="shared" si="18"/>
        <v>Ukiah</v>
      </c>
      <c r="E405" s="1" t="str">
        <f>IFERROR(INDEX(Census_Metro_List!$A:$A,MATCH(D405&amp;"*",Census_Metro_List!$A:$A,0)),"No Match")</f>
        <v>No Match</v>
      </c>
      <c r="F405" s="1" t="str">
        <f t="shared" si="19"/>
        <v>CA</v>
      </c>
      <c r="G405" s="1" t="str">
        <f t="shared" si="20"/>
        <v>Review</v>
      </c>
    </row>
    <row r="406" spans="1:7" x14ac:dyDescent="0.35">
      <c r="A406" s="1" t="s">
        <v>807</v>
      </c>
      <c r="B406" s="1"/>
      <c r="C406" s="1" t="s">
        <v>1299</v>
      </c>
      <c r="D406" s="1" t="str">
        <f t="shared" si="18"/>
        <v>Hermiston</v>
      </c>
      <c r="E406" s="1" t="str">
        <f>IFERROR(INDEX(Census_Metro_List!$A:$A,MATCH(D406&amp;"*",Census_Metro_List!$A:$A,0)),"No Match")</f>
        <v>No Match</v>
      </c>
      <c r="F406" s="1" t="str">
        <f t="shared" si="19"/>
        <v>OR</v>
      </c>
      <c r="G406" s="1" t="str">
        <f t="shared" si="20"/>
        <v>Review</v>
      </c>
    </row>
    <row r="407" spans="1:7" x14ac:dyDescent="0.35">
      <c r="A407" s="1" t="s">
        <v>808</v>
      </c>
      <c r="B407" s="1"/>
      <c r="C407" s="1" t="s">
        <v>1299</v>
      </c>
      <c r="D407" s="1" t="str">
        <f t="shared" si="18"/>
        <v>Clarksburg</v>
      </c>
      <c r="E407" s="1" t="str">
        <f>IFERROR(INDEX(Census_Metro_List!$A:$A,MATCH(D407&amp;"*",Census_Metro_List!$A:$A,0)),"No Match")</f>
        <v>No Match</v>
      </c>
      <c r="F407" s="1" t="str">
        <f t="shared" si="19"/>
        <v>WV</v>
      </c>
      <c r="G407" s="1" t="str">
        <f t="shared" si="20"/>
        <v>Review</v>
      </c>
    </row>
    <row r="408" spans="1:7" hidden="1" x14ac:dyDescent="0.35">
      <c r="A408" s="1" t="s">
        <v>809</v>
      </c>
      <c r="B408" s="1" t="s">
        <v>273</v>
      </c>
      <c r="C408" s="1" t="s">
        <v>1298</v>
      </c>
      <c r="D408" s="1" t="str">
        <f t="shared" si="18"/>
        <v>Parkersburg</v>
      </c>
      <c r="E408" s="1" t="str">
        <f>IFERROR(INDEX(Census_Metro_List!$A:$A,MATCH(D408&amp;"*",Census_Metro_List!$A:$A,0)),"No Match")</f>
        <v>Parkersburg-Vienna, WV Metro Area</v>
      </c>
      <c r="F408" s="1" t="str">
        <f t="shared" si="19"/>
        <v>WV</v>
      </c>
      <c r="G408" s="1" t="str">
        <f t="shared" si="20"/>
        <v>Likely Match</v>
      </c>
    </row>
    <row r="409" spans="1:7" x14ac:dyDescent="0.35">
      <c r="A409" s="1" t="s">
        <v>810</v>
      </c>
      <c r="B409" s="1"/>
      <c r="C409" s="1" t="s">
        <v>1299</v>
      </c>
      <c r="D409" s="1" t="str">
        <f t="shared" si="18"/>
        <v>Beaver Dam</v>
      </c>
      <c r="E409" s="1" t="str">
        <f>IFERROR(INDEX(Census_Metro_List!$A:$A,MATCH(D409&amp;"*",Census_Metro_List!$A:$A,0)),"No Match")</f>
        <v>No Match</v>
      </c>
      <c r="F409" s="1" t="str">
        <f t="shared" si="19"/>
        <v>WI</v>
      </c>
      <c r="G409" s="1" t="str">
        <f t="shared" si="20"/>
        <v>Review</v>
      </c>
    </row>
    <row r="410" spans="1:7" x14ac:dyDescent="0.35">
      <c r="A410" s="1" t="s">
        <v>811</v>
      </c>
      <c r="B410" s="1"/>
      <c r="C410" s="1" t="s">
        <v>1299</v>
      </c>
      <c r="D410" s="1" t="str">
        <f t="shared" si="18"/>
        <v>Pine Bluff</v>
      </c>
      <c r="E410" s="1" t="str">
        <f>IFERROR(INDEX(Census_Metro_List!$A:$A,MATCH(D410&amp;"*",Census_Metro_List!$A:$A,0)),"No Match")</f>
        <v>No Match</v>
      </c>
      <c r="F410" s="1" t="str">
        <f t="shared" si="19"/>
        <v>AR</v>
      </c>
      <c r="G410" s="1" t="str">
        <f t="shared" si="20"/>
        <v>Review</v>
      </c>
    </row>
    <row r="411" spans="1:7" hidden="1" x14ac:dyDescent="0.35">
      <c r="A411" s="1" t="s">
        <v>812</v>
      </c>
      <c r="B411" s="1" t="s">
        <v>140</v>
      </c>
      <c r="C411" s="1" t="s">
        <v>1298</v>
      </c>
      <c r="D411" s="1" t="str">
        <f t="shared" si="18"/>
        <v>Grants Pass</v>
      </c>
      <c r="E411" s="1" t="str">
        <f>IFERROR(INDEX(Census_Metro_List!$A:$A,MATCH(D411&amp;"*",Census_Metro_List!$A:$A,0)),"No Match")</f>
        <v>Grants Pass, OR Metro Area</v>
      </c>
      <c r="F411" s="1" t="str">
        <f t="shared" si="19"/>
        <v>OR</v>
      </c>
      <c r="G411" s="1" t="str">
        <f t="shared" si="20"/>
        <v>Likely Match</v>
      </c>
    </row>
    <row r="412" spans="1:7" x14ac:dyDescent="0.35">
      <c r="A412" s="1" t="s">
        <v>813</v>
      </c>
      <c r="B412" s="1"/>
      <c r="C412" s="1" t="s">
        <v>1299</v>
      </c>
      <c r="D412" s="1" t="str">
        <f t="shared" si="18"/>
        <v>Cullman</v>
      </c>
      <c r="E412" s="1" t="str">
        <f>IFERROR(INDEX(Census_Metro_List!$A:$A,MATCH(D412&amp;"*",Census_Metro_List!$A:$A,0)),"No Match")</f>
        <v>No Match</v>
      </c>
      <c r="F412" s="1" t="str">
        <f t="shared" si="19"/>
        <v>AL</v>
      </c>
      <c r="G412" s="1" t="str">
        <f t="shared" si="20"/>
        <v>Review</v>
      </c>
    </row>
    <row r="413" spans="1:7" x14ac:dyDescent="0.35">
      <c r="A413" s="1" t="s">
        <v>814</v>
      </c>
      <c r="B413" s="1"/>
      <c r="C413" s="1" t="s">
        <v>1299</v>
      </c>
      <c r="D413" s="1" t="str">
        <f t="shared" si="18"/>
        <v>Lufkin</v>
      </c>
      <c r="E413" s="1" t="str">
        <f>IFERROR(INDEX(Census_Metro_List!$A:$A,MATCH(D413&amp;"*",Census_Metro_List!$A:$A,0)),"No Match")</f>
        <v>No Match</v>
      </c>
      <c r="F413" s="1" t="str">
        <f t="shared" si="19"/>
        <v>TX</v>
      </c>
      <c r="G413" s="1" t="str">
        <f t="shared" si="20"/>
        <v>Review</v>
      </c>
    </row>
    <row r="414" spans="1:7" x14ac:dyDescent="0.35">
      <c r="A414" s="1" t="s">
        <v>815</v>
      </c>
      <c r="B414" s="1"/>
      <c r="C414" s="1" t="s">
        <v>1299</v>
      </c>
      <c r="D414" s="1" t="str">
        <f t="shared" si="18"/>
        <v>Zanesville</v>
      </c>
      <c r="E414" s="1" t="str">
        <f>IFERROR(INDEX(Census_Metro_List!$A:$A,MATCH(D414&amp;"*",Census_Metro_List!$A:$A,0)),"No Match")</f>
        <v>No Match</v>
      </c>
      <c r="F414" s="1" t="str">
        <f t="shared" si="19"/>
        <v>OH</v>
      </c>
      <c r="G414" s="1" t="str">
        <f t="shared" si="20"/>
        <v>Review</v>
      </c>
    </row>
    <row r="415" spans="1:7" x14ac:dyDescent="0.35">
      <c r="A415" s="1" t="s">
        <v>816</v>
      </c>
      <c r="B415" s="1"/>
      <c r="C415" s="1" t="s">
        <v>1299</v>
      </c>
      <c r="D415" s="1" t="str">
        <f t="shared" si="18"/>
        <v>New Castle</v>
      </c>
      <c r="E415" s="1" t="str">
        <f>IFERROR(INDEX(Census_Metro_List!$A:$A,MATCH(D415&amp;"*",Census_Metro_List!$A:$A,0)),"No Match")</f>
        <v>No Match</v>
      </c>
      <c r="F415" s="1" t="str">
        <f t="shared" si="19"/>
        <v>PA</v>
      </c>
      <c r="G415" s="1" t="str">
        <f t="shared" si="20"/>
        <v>Review</v>
      </c>
    </row>
    <row r="416" spans="1:7" x14ac:dyDescent="0.35">
      <c r="A416" s="1" t="s">
        <v>817</v>
      </c>
      <c r="B416" s="1"/>
      <c r="C416" s="1" t="s">
        <v>1299</v>
      </c>
      <c r="D416" s="1" t="str">
        <f t="shared" si="18"/>
        <v>Oak Harbor</v>
      </c>
      <c r="E416" s="1" t="str">
        <f>IFERROR(INDEX(Census_Metro_List!$A:$A,MATCH(D416&amp;"*",Census_Metro_List!$A:$A,0)),"No Match")</f>
        <v>No Match</v>
      </c>
      <c r="F416" s="1" t="str">
        <f t="shared" si="19"/>
        <v>WA</v>
      </c>
      <c r="G416" s="1" t="str">
        <f t="shared" si="20"/>
        <v>Review</v>
      </c>
    </row>
    <row r="417" spans="1:7" x14ac:dyDescent="0.35">
      <c r="A417" s="1" t="s">
        <v>818</v>
      </c>
      <c r="B417" s="1"/>
      <c r="C417" s="1" t="s">
        <v>1299</v>
      </c>
      <c r="D417" s="1" t="str">
        <f t="shared" si="18"/>
        <v>Orangeburg</v>
      </c>
      <c r="E417" s="1" t="str">
        <f>IFERROR(INDEX(Census_Metro_List!$A:$A,MATCH(D417&amp;"*",Census_Metro_List!$A:$A,0)),"No Match")</f>
        <v>No Match</v>
      </c>
      <c r="F417" s="1" t="str">
        <f t="shared" si="19"/>
        <v>SC</v>
      </c>
      <c r="G417" s="1" t="str">
        <f t="shared" si="20"/>
        <v>Review</v>
      </c>
    </row>
    <row r="418" spans="1:7" x14ac:dyDescent="0.35">
      <c r="A418" s="1" t="s">
        <v>819</v>
      </c>
      <c r="B418" s="1"/>
      <c r="C418" s="1" t="s">
        <v>1299</v>
      </c>
      <c r="D418" s="1" t="str">
        <f t="shared" si="18"/>
        <v>Watertown</v>
      </c>
      <c r="E418" s="1" t="str">
        <f>IFERROR(INDEX(Census_Metro_List!$A:$A,MATCH(D418&amp;"*",Census_Metro_List!$A:$A,0)),"No Match")</f>
        <v>Watertown-Fort Drum, NY Metro Area</v>
      </c>
      <c r="F418" s="1" t="str">
        <f t="shared" si="19"/>
        <v>WI</v>
      </c>
      <c r="G418" s="1" t="str">
        <f t="shared" si="20"/>
        <v>Review</v>
      </c>
    </row>
    <row r="419" spans="1:7" x14ac:dyDescent="0.35">
      <c r="A419" s="1" t="s">
        <v>820</v>
      </c>
      <c r="B419" s="1"/>
      <c r="C419" s="1" t="s">
        <v>1299</v>
      </c>
      <c r="D419" s="1" t="str">
        <f t="shared" si="18"/>
        <v>Meadville</v>
      </c>
      <c r="E419" s="1" t="str">
        <f>IFERROR(INDEX(Census_Metro_List!$A:$A,MATCH(D419&amp;"*",Census_Metro_List!$A:$A,0)),"No Match")</f>
        <v>No Match</v>
      </c>
      <c r="F419" s="1" t="str">
        <f t="shared" si="19"/>
        <v>PA</v>
      </c>
      <c r="G419" s="1" t="str">
        <f t="shared" si="20"/>
        <v>Review</v>
      </c>
    </row>
    <row r="420" spans="1:7" hidden="1" x14ac:dyDescent="0.35">
      <c r="A420" s="1" t="s">
        <v>821</v>
      </c>
      <c r="B420" s="1" t="s">
        <v>110</v>
      </c>
      <c r="C420" s="1" t="s">
        <v>1298</v>
      </c>
      <c r="D420" s="1" t="str">
        <f t="shared" si="18"/>
        <v>Elmira</v>
      </c>
      <c r="E420" s="1" t="str">
        <f>IFERROR(INDEX(Census_Metro_List!$A:$A,MATCH(D420&amp;"*",Census_Metro_List!$A:$A,0)),"No Match")</f>
        <v>Elmira, NY Metro Area</v>
      </c>
      <c r="F420" s="1" t="str">
        <f t="shared" si="19"/>
        <v>NY</v>
      </c>
      <c r="G420" s="1" t="str">
        <f t="shared" si="20"/>
        <v>Likely Match</v>
      </c>
    </row>
    <row r="421" spans="1:7" hidden="1" x14ac:dyDescent="0.35">
      <c r="A421" s="1" t="s">
        <v>822</v>
      </c>
      <c r="B421" s="1" t="s">
        <v>141</v>
      </c>
      <c r="C421" s="1" t="s">
        <v>1298</v>
      </c>
      <c r="D421" s="1" t="str">
        <f t="shared" si="18"/>
        <v>Great Falls</v>
      </c>
      <c r="E421" s="1" t="str">
        <f>IFERROR(INDEX(Census_Metro_List!$A:$A,MATCH(D421&amp;"*",Census_Metro_List!$A:$A,0)),"No Match")</f>
        <v>Great Falls, MT Metro Area</v>
      </c>
      <c r="F421" s="1" t="str">
        <f t="shared" si="19"/>
        <v>MT</v>
      </c>
      <c r="G421" s="1" t="str">
        <f t="shared" si="20"/>
        <v>Likely Match</v>
      </c>
    </row>
    <row r="422" spans="1:7" x14ac:dyDescent="0.35">
      <c r="A422" s="1" t="s">
        <v>823</v>
      </c>
      <c r="B422" s="1"/>
      <c r="C422" s="1" t="s">
        <v>1299</v>
      </c>
      <c r="D422" s="1" t="str">
        <f t="shared" si="18"/>
        <v>Laurel</v>
      </c>
      <c r="E422" s="1" t="str">
        <f>IFERROR(INDEX(Census_Metro_List!$A:$A,MATCH(D422&amp;"*",Census_Metro_List!$A:$A,0)),"No Match")</f>
        <v>No Match</v>
      </c>
      <c r="F422" s="1" t="str">
        <f t="shared" si="19"/>
        <v>MS</v>
      </c>
      <c r="G422" s="1" t="str">
        <f t="shared" si="20"/>
        <v>Review</v>
      </c>
    </row>
    <row r="423" spans="1:7" x14ac:dyDescent="0.35">
      <c r="A423" s="1" t="s">
        <v>824</v>
      </c>
      <c r="B423" s="1"/>
      <c r="C423" s="1" t="s">
        <v>1299</v>
      </c>
      <c r="D423" s="1" t="str">
        <f t="shared" si="18"/>
        <v>Russellville</v>
      </c>
      <c r="E423" s="1" t="str">
        <f>IFERROR(INDEX(Census_Metro_List!$A:$A,MATCH(D423&amp;"*",Census_Metro_List!$A:$A,0)),"No Match")</f>
        <v>No Match</v>
      </c>
      <c r="F423" s="1" t="str">
        <f t="shared" si="19"/>
        <v>AR</v>
      </c>
      <c r="G423" s="1" t="str">
        <f t="shared" si="20"/>
        <v>Review</v>
      </c>
    </row>
    <row r="424" spans="1:7" x14ac:dyDescent="0.35">
      <c r="A424" s="1" t="s">
        <v>825</v>
      </c>
      <c r="B424" s="1"/>
      <c r="C424" s="1" t="s">
        <v>1299</v>
      </c>
      <c r="D424" s="1" t="str">
        <f t="shared" si="18"/>
        <v>Indiana</v>
      </c>
      <c r="E424" s="1" t="str">
        <f>IFERROR(INDEX(Census_Metro_List!$A:$A,MATCH(D424&amp;"*",Census_Metro_List!$A:$A,0)),"No Match")</f>
        <v>Indianapolis-Carmel-Greenwood, IN Metro Area</v>
      </c>
      <c r="F424" s="1" t="str">
        <f t="shared" si="19"/>
        <v>PA</v>
      </c>
      <c r="G424" s="1" t="str">
        <f t="shared" si="20"/>
        <v>Review</v>
      </c>
    </row>
    <row r="425" spans="1:7" hidden="1" x14ac:dyDescent="0.35">
      <c r="A425" s="1" t="s">
        <v>826</v>
      </c>
      <c r="B425" s="1" t="s">
        <v>234</v>
      </c>
      <c r="C425" s="1" t="s">
        <v>1298</v>
      </c>
      <c r="D425" s="1" t="str">
        <f t="shared" si="18"/>
        <v>Midland</v>
      </c>
      <c r="E425" s="1" t="str">
        <f>IFERROR(INDEX(Census_Metro_List!$A:$A,MATCH(D425&amp;"*",Census_Metro_List!$A:$A,0)),"No Match")</f>
        <v>Midland, MI Metro Area</v>
      </c>
      <c r="F425" s="1" t="str">
        <f t="shared" si="19"/>
        <v>MI</v>
      </c>
      <c r="G425" s="1" t="str">
        <f t="shared" si="20"/>
        <v>Likely Match</v>
      </c>
    </row>
    <row r="426" spans="1:7" hidden="1" x14ac:dyDescent="0.35">
      <c r="A426" s="1" t="s">
        <v>827</v>
      </c>
      <c r="B426" s="1" t="s">
        <v>192</v>
      </c>
      <c r="C426" s="1" t="s">
        <v>1298</v>
      </c>
      <c r="D426" s="1" t="str">
        <f t="shared" si="18"/>
        <v>Kokomo</v>
      </c>
      <c r="E426" s="1" t="str">
        <f>IFERROR(INDEX(Census_Metro_List!$A:$A,MATCH(D426&amp;"*",Census_Metro_List!$A:$A,0)),"No Match")</f>
        <v>Kokomo, IN Metro Area</v>
      </c>
      <c r="F426" s="1" t="str">
        <f t="shared" si="19"/>
        <v>IN</v>
      </c>
      <c r="G426" s="1" t="str">
        <f t="shared" si="20"/>
        <v>Likely Match</v>
      </c>
    </row>
    <row r="427" spans="1:7" x14ac:dyDescent="0.35">
      <c r="A427" s="1" t="s">
        <v>828</v>
      </c>
      <c r="B427" s="1"/>
      <c r="C427" s="1" t="s">
        <v>1299</v>
      </c>
      <c r="D427" s="1" t="str">
        <f t="shared" si="18"/>
        <v>Bloomsburg</v>
      </c>
      <c r="E427" s="1" t="str">
        <f>IFERROR(INDEX(Census_Metro_List!$A:$A,MATCH(D427&amp;"*",Census_Metro_List!$A:$A,0)),"No Match")</f>
        <v>No Match</v>
      </c>
      <c r="F427" s="1" t="str">
        <f t="shared" si="19"/>
        <v>PA</v>
      </c>
      <c r="G427" s="1" t="str">
        <f t="shared" si="20"/>
        <v>Review</v>
      </c>
    </row>
    <row r="428" spans="1:7" x14ac:dyDescent="0.35">
      <c r="A428" s="1" t="s">
        <v>829</v>
      </c>
      <c r="B428" s="1"/>
      <c r="C428" s="1" t="s">
        <v>1299</v>
      </c>
      <c r="D428" s="1" t="str">
        <f t="shared" si="18"/>
        <v>Opelousas</v>
      </c>
      <c r="E428" s="1" t="str">
        <f>IFERROR(INDEX(Census_Metro_List!$A:$A,MATCH(D428&amp;"*",Census_Metro_List!$A:$A,0)),"No Match")</f>
        <v>No Match</v>
      </c>
      <c r="F428" s="1" t="str">
        <f t="shared" si="19"/>
        <v>LA</v>
      </c>
      <c r="G428" s="1" t="str">
        <f t="shared" si="20"/>
        <v>Review</v>
      </c>
    </row>
    <row r="429" spans="1:7" hidden="1" x14ac:dyDescent="0.35">
      <c r="A429" s="1" t="s">
        <v>830</v>
      </c>
      <c r="B429" s="1" t="s">
        <v>156</v>
      </c>
      <c r="C429" s="1" t="s">
        <v>1298</v>
      </c>
      <c r="D429" s="1" t="str">
        <f t="shared" si="18"/>
        <v>Helena</v>
      </c>
      <c r="E429" s="1" t="str">
        <f>IFERROR(INDEX(Census_Metro_List!$A:$A,MATCH(D429&amp;"*",Census_Metro_List!$A:$A,0)),"No Match")</f>
        <v>Helena, MT Metro Area</v>
      </c>
      <c r="F429" s="1" t="str">
        <f t="shared" si="19"/>
        <v>MT</v>
      </c>
      <c r="G429" s="1" t="str">
        <f t="shared" si="20"/>
        <v>Likely Match</v>
      </c>
    </row>
    <row r="430" spans="1:7" x14ac:dyDescent="0.35">
      <c r="A430" s="1" t="s">
        <v>831</v>
      </c>
      <c r="B430" s="1"/>
      <c r="C430" s="1" t="s">
        <v>1299</v>
      </c>
      <c r="D430" s="1" t="str">
        <f t="shared" si="18"/>
        <v>Key West</v>
      </c>
      <c r="E430" s="1" t="str">
        <f>IFERROR(INDEX(Census_Metro_List!$A:$A,MATCH(D430&amp;"*",Census_Metro_List!$A:$A,0)),"No Match")</f>
        <v>No Match</v>
      </c>
      <c r="F430" s="1" t="str">
        <f t="shared" si="19"/>
        <v>FL</v>
      </c>
      <c r="G430" s="1" t="str">
        <f t="shared" si="20"/>
        <v>Review</v>
      </c>
    </row>
    <row r="431" spans="1:7" x14ac:dyDescent="0.35">
      <c r="A431" s="1" t="s">
        <v>832</v>
      </c>
      <c r="B431" s="1"/>
      <c r="C431" s="1" t="s">
        <v>1299</v>
      </c>
      <c r="D431" s="1" t="str">
        <f t="shared" si="18"/>
        <v>Talladega</v>
      </c>
      <c r="E431" s="1" t="str">
        <f>IFERROR(INDEX(Census_Metro_List!$A:$A,MATCH(D431&amp;"*",Census_Metro_List!$A:$A,0)),"No Match")</f>
        <v>No Match</v>
      </c>
      <c r="F431" s="1" t="str">
        <f t="shared" si="19"/>
        <v>AL</v>
      </c>
      <c r="G431" s="1" t="str">
        <f t="shared" si="20"/>
        <v>Review</v>
      </c>
    </row>
    <row r="432" spans="1:7" x14ac:dyDescent="0.35">
      <c r="A432" s="1" t="s">
        <v>833</v>
      </c>
      <c r="B432" s="1"/>
      <c r="C432" s="1" t="s">
        <v>1299</v>
      </c>
      <c r="D432" s="1" t="str">
        <f t="shared" si="18"/>
        <v>Stillwater</v>
      </c>
      <c r="E432" s="1" t="str">
        <f>IFERROR(INDEX(Census_Metro_List!$A:$A,MATCH(D432&amp;"*",Census_Metro_List!$A:$A,0)),"No Match")</f>
        <v>No Match</v>
      </c>
      <c r="F432" s="1" t="str">
        <f t="shared" si="19"/>
        <v>OK</v>
      </c>
      <c r="G432" s="1" t="str">
        <f t="shared" si="20"/>
        <v>Review</v>
      </c>
    </row>
    <row r="433" spans="1:7" x14ac:dyDescent="0.35">
      <c r="A433" s="1" t="s">
        <v>834</v>
      </c>
      <c r="B433" s="1" t="s">
        <v>84</v>
      </c>
      <c r="C433" s="1" t="s">
        <v>1298</v>
      </c>
      <c r="D433" s="1" t="str">
        <f t="shared" si="18"/>
        <v>Columbus</v>
      </c>
      <c r="E433" s="1" t="str">
        <f>IFERROR(INDEX(Census_Metro_List!$A:$A,MATCH(D433&amp;"*",Census_Metro_List!$A:$A,0)),"No Match")</f>
        <v>Columbus, GA-AL Metro Area</v>
      </c>
      <c r="F433" s="1" t="str">
        <f t="shared" si="19"/>
        <v>IN</v>
      </c>
      <c r="G433" s="1" t="str">
        <f t="shared" si="20"/>
        <v>Review</v>
      </c>
    </row>
    <row r="434" spans="1:7" x14ac:dyDescent="0.35">
      <c r="A434" s="1" t="s">
        <v>835</v>
      </c>
      <c r="B434" s="1"/>
      <c r="C434" s="1" t="s">
        <v>1299</v>
      </c>
      <c r="D434" s="1" t="str">
        <f t="shared" si="18"/>
        <v>Athens</v>
      </c>
      <c r="E434" s="1" t="str">
        <f>IFERROR(INDEX(Census_Metro_List!$A:$A,MATCH(D434&amp;"*",Census_Metro_List!$A:$A,0)),"No Match")</f>
        <v>Athens-Clarke County, GA Metro Area</v>
      </c>
      <c r="F434" s="1" t="str">
        <f t="shared" si="19"/>
        <v>TX</v>
      </c>
      <c r="G434" s="1" t="str">
        <f t="shared" si="20"/>
        <v>Review</v>
      </c>
    </row>
    <row r="435" spans="1:7" x14ac:dyDescent="0.35">
      <c r="A435" s="1" t="s">
        <v>836</v>
      </c>
      <c r="B435" s="1"/>
      <c r="C435" s="1" t="s">
        <v>1299</v>
      </c>
      <c r="D435" s="1" t="str">
        <f t="shared" si="18"/>
        <v>Centralia</v>
      </c>
      <c r="E435" s="1" t="str">
        <f>IFERROR(INDEX(Census_Metro_List!$A:$A,MATCH(D435&amp;"*",Census_Metro_List!$A:$A,0)),"No Match")</f>
        <v>No Match</v>
      </c>
      <c r="F435" s="1" t="str">
        <f t="shared" si="19"/>
        <v>WA</v>
      </c>
      <c r="G435" s="1" t="str">
        <f t="shared" si="20"/>
        <v>Review</v>
      </c>
    </row>
    <row r="436" spans="1:7" x14ac:dyDescent="0.35">
      <c r="A436" s="1" t="s">
        <v>837</v>
      </c>
      <c r="B436" s="1"/>
      <c r="C436" s="1" t="s">
        <v>1299</v>
      </c>
      <c r="D436" s="1" t="str">
        <f t="shared" si="18"/>
        <v>Manitowoc</v>
      </c>
      <c r="E436" s="1" t="str">
        <f>IFERROR(INDEX(Census_Metro_List!$A:$A,MATCH(D436&amp;"*",Census_Metro_List!$A:$A,0)),"No Match")</f>
        <v>No Match</v>
      </c>
      <c r="F436" s="1" t="str">
        <f t="shared" si="19"/>
        <v>WI</v>
      </c>
      <c r="G436" s="1" t="str">
        <f t="shared" si="20"/>
        <v>Review</v>
      </c>
    </row>
    <row r="437" spans="1:7" hidden="1" x14ac:dyDescent="0.35">
      <c r="A437" s="1" t="s">
        <v>838</v>
      </c>
      <c r="B437" s="1" t="s">
        <v>159</v>
      </c>
      <c r="C437" s="1" t="s">
        <v>1298</v>
      </c>
      <c r="D437" s="1" t="str">
        <f t="shared" si="18"/>
        <v>Hinesville</v>
      </c>
      <c r="E437" s="1" t="str">
        <f>IFERROR(INDEX(Census_Metro_List!$A:$A,MATCH(D437&amp;"*",Census_Metro_List!$A:$A,0)),"No Match")</f>
        <v>Hinesville, GA Metro Area</v>
      </c>
      <c r="F437" s="1" t="str">
        <f t="shared" si="19"/>
        <v>GA</v>
      </c>
      <c r="G437" s="1" t="str">
        <f t="shared" si="20"/>
        <v>Likely Match</v>
      </c>
    </row>
    <row r="438" spans="1:7" x14ac:dyDescent="0.35">
      <c r="A438" s="1" t="s">
        <v>839</v>
      </c>
      <c r="B438" s="1"/>
      <c r="C438" s="1" t="s">
        <v>1299</v>
      </c>
      <c r="D438" s="1" t="str">
        <f t="shared" si="18"/>
        <v>DuBois</v>
      </c>
      <c r="E438" s="1" t="str">
        <f>IFERROR(INDEX(Census_Metro_List!$A:$A,MATCH(D438&amp;"*",Census_Metro_List!$A:$A,0)),"No Match")</f>
        <v>No Match</v>
      </c>
      <c r="F438" s="1" t="str">
        <f t="shared" si="19"/>
        <v>PA</v>
      </c>
      <c r="G438" s="1" t="str">
        <f t="shared" si="20"/>
        <v>Review</v>
      </c>
    </row>
    <row r="439" spans="1:7" x14ac:dyDescent="0.35">
      <c r="A439" s="1" t="s">
        <v>840</v>
      </c>
      <c r="B439" s="1"/>
      <c r="C439" s="1" t="s">
        <v>1299</v>
      </c>
      <c r="D439" s="1" t="str">
        <f t="shared" si="18"/>
        <v>Warsaw</v>
      </c>
      <c r="E439" s="1" t="str">
        <f>IFERROR(INDEX(Census_Metro_List!$A:$A,MATCH(D439&amp;"*",Census_Metro_List!$A:$A,0)),"No Match")</f>
        <v>No Match</v>
      </c>
      <c r="F439" s="1" t="str">
        <f t="shared" si="19"/>
        <v>IN</v>
      </c>
      <c r="G439" s="1" t="str">
        <f t="shared" si="20"/>
        <v>Review</v>
      </c>
    </row>
    <row r="440" spans="1:7" x14ac:dyDescent="0.35">
      <c r="A440" s="1" t="s">
        <v>841</v>
      </c>
      <c r="B440" s="1"/>
      <c r="C440" s="1" t="s">
        <v>1299</v>
      </c>
      <c r="D440" s="1" t="str">
        <f t="shared" si="18"/>
        <v>Plattsburgh</v>
      </c>
      <c r="E440" s="1" t="str">
        <f>IFERROR(INDEX(Census_Metro_List!$A:$A,MATCH(D440&amp;"*",Census_Metro_List!$A:$A,0)),"No Match")</f>
        <v>No Match</v>
      </c>
      <c r="F440" s="1" t="str">
        <f t="shared" si="19"/>
        <v>NY</v>
      </c>
      <c r="G440" s="1" t="str">
        <f t="shared" si="20"/>
        <v>Review</v>
      </c>
    </row>
    <row r="441" spans="1:7" x14ac:dyDescent="0.35">
      <c r="A441" s="1" t="s">
        <v>842</v>
      </c>
      <c r="B441" s="1"/>
      <c r="C441" s="1" t="s">
        <v>1299</v>
      </c>
      <c r="D441" s="1" t="str">
        <f t="shared" si="18"/>
        <v>Statesboro</v>
      </c>
      <c r="E441" s="1" t="str">
        <f>IFERROR(INDEX(Census_Metro_List!$A:$A,MATCH(D441&amp;"*",Census_Metro_List!$A:$A,0)),"No Match")</f>
        <v>No Match</v>
      </c>
      <c r="F441" s="1" t="str">
        <f t="shared" si="19"/>
        <v>GA</v>
      </c>
      <c r="G441" s="1" t="str">
        <f t="shared" si="20"/>
        <v>Review</v>
      </c>
    </row>
    <row r="442" spans="1:7" hidden="1" x14ac:dyDescent="0.35">
      <c r="A442" s="1" t="s">
        <v>843</v>
      </c>
      <c r="B442" s="1" t="s">
        <v>62</v>
      </c>
      <c r="C442" s="1" t="s">
        <v>1298</v>
      </c>
      <c r="D442" s="1" t="str">
        <f t="shared" si="18"/>
        <v>Casper</v>
      </c>
      <c r="E442" s="1" t="str">
        <f>IFERROR(INDEX(Census_Metro_List!$A:$A,MATCH(D442&amp;"*",Census_Metro_List!$A:$A,0)),"No Match")</f>
        <v>Casper, WY Metro Area</v>
      </c>
      <c r="F442" s="1" t="str">
        <f t="shared" si="19"/>
        <v>WY</v>
      </c>
      <c r="G442" s="1" t="str">
        <f t="shared" si="20"/>
        <v>Likely Match</v>
      </c>
    </row>
    <row r="443" spans="1:7" x14ac:dyDescent="0.35">
      <c r="A443" s="1" t="s">
        <v>844</v>
      </c>
      <c r="B443" s="1"/>
      <c r="C443" s="1" t="s">
        <v>1299</v>
      </c>
      <c r="D443" s="1" t="str">
        <f t="shared" si="18"/>
        <v>Wilson</v>
      </c>
      <c r="E443" s="1" t="str">
        <f>IFERROR(INDEX(Census_Metro_List!$A:$A,MATCH(D443&amp;"*",Census_Metro_List!$A:$A,0)),"No Match")</f>
        <v>No Match</v>
      </c>
      <c r="F443" s="1" t="str">
        <f t="shared" si="19"/>
        <v>NC</v>
      </c>
      <c r="G443" s="1" t="str">
        <f t="shared" si="20"/>
        <v>Review</v>
      </c>
    </row>
    <row r="444" spans="1:7" x14ac:dyDescent="0.35">
      <c r="A444" s="1" t="s">
        <v>845</v>
      </c>
      <c r="B444" s="1"/>
      <c r="C444" s="1" t="s">
        <v>1299</v>
      </c>
      <c r="D444" s="1" t="str">
        <f t="shared" si="18"/>
        <v>Glenwood Springs</v>
      </c>
      <c r="E444" s="1" t="str">
        <f>IFERROR(INDEX(Census_Metro_List!$A:$A,MATCH(D444&amp;"*",Census_Metro_List!$A:$A,0)),"No Match")</f>
        <v>No Match</v>
      </c>
      <c r="F444" s="1" t="str">
        <f t="shared" si="19"/>
        <v>CO</v>
      </c>
      <c r="G444" s="1" t="str">
        <f t="shared" si="20"/>
        <v>Review</v>
      </c>
    </row>
    <row r="445" spans="1:7" x14ac:dyDescent="0.35">
      <c r="A445" s="1" t="s">
        <v>846</v>
      </c>
      <c r="B445" s="1"/>
      <c r="C445" s="1" t="s">
        <v>1299</v>
      </c>
      <c r="D445" s="1" t="str">
        <f t="shared" si="18"/>
        <v>Seneca</v>
      </c>
      <c r="E445" s="1" t="str">
        <f>IFERROR(INDEX(Census_Metro_List!$A:$A,MATCH(D445&amp;"*",Census_Metro_List!$A:$A,0)),"No Match")</f>
        <v>No Match</v>
      </c>
      <c r="F445" s="1" t="str">
        <f t="shared" si="19"/>
        <v>SC</v>
      </c>
      <c r="G445" s="1" t="str">
        <f t="shared" si="20"/>
        <v>Review</v>
      </c>
    </row>
    <row r="446" spans="1:7" hidden="1" x14ac:dyDescent="0.35">
      <c r="A446" s="1" t="s">
        <v>847</v>
      </c>
      <c r="B446" s="1" t="s">
        <v>238</v>
      </c>
      <c r="C446" s="1" t="s">
        <v>1298</v>
      </c>
      <c r="D446" s="1" t="str">
        <f t="shared" si="18"/>
        <v>Minot</v>
      </c>
      <c r="E446" s="1" t="str">
        <f>IFERROR(INDEX(Census_Metro_List!$A:$A,MATCH(D446&amp;"*",Census_Metro_List!$A:$A,0)),"No Match")</f>
        <v>Minot, ND Metro Area</v>
      </c>
      <c r="F446" s="1" t="str">
        <f t="shared" si="19"/>
        <v>ND</v>
      </c>
      <c r="G446" s="1" t="str">
        <f t="shared" si="20"/>
        <v>Likely Match</v>
      </c>
    </row>
    <row r="447" spans="1:7" x14ac:dyDescent="0.35">
      <c r="A447" s="1" t="s">
        <v>848</v>
      </c>
      <c r="B447" s="1"/>
      <c r="C447" s="1" t="s">
        <v>1299</v>
      </c>
      <c r="D447" s="1" t="str">
        <f t="shared" si="18"/>
        <v>Olean</v>
      </c>
      <c r="E447" s="1" t="str">
        <f>IFERROR(INDEX(Census_Metro_List!$A:$A,MATCH(D447&amp;"*",Census_Metro_List!$A:$A,0)),"No Match")</f>
        <v>No Match</v>
      </c>
      <c r="F447" s="1" t="str">
        <f t="shared" si="19"/>
        <v>NY</v>
      </c>
      <c r="G447" s="1" t="str">
        <f t="shared" si="20"/>
        <v>Review</v>
      </c>
    </row>
    <row r="448" spans="1:7" x14ac:dyDescent="0.35">
      <c r="A448" s="1" t="s">
        <v>849</v>
      </c>
      <c r="B448" s="1"/>
      <c r="C448" s="1" t="s">
        <v>1299</v>
      </c>
      <c r="D448" s="1" t="str">
        <f t="shared" si="18"/>
        <v>Chillicothe</v>
      </c>
      <c r="E448" s="1" t="str">
        <f>IFERROR(INDEX(Census_Metro_List!$A:$A,MATCH(D448&amp;"*",Census_Metro_List!$A:$A,0)),"No Match")</f>
        <v>No Match</v>
      </c>
      <c r="F448" s="1" t="str">
        <f t="shared" si="19"/>
        <v>OH</v>
      </c>
      <c r="G448" s="1" t="str">
        <f t="shared" si="20"/>
        <v>Review</v>
      </c>
    </row>
    <row r="449" spans="1:7" x14ac:dyDescent="0.35">
      <c r="A449" s="1" t="s">
        <v>850</v>
      </c>
      <c r="B449" s="1"/>
      <c r="C449" s="1" t="s">
        <v>1299</v>
      </c>
      <c r="D449" s="1" t="str">
        <f t="shared" si="18"/>
        <v>Searcy</v>
      </c>
      <c r="E449" s="1" t="str">
        <f>IFERROR(INDEX(Census_Metro_List!$A:$A,MATCH(D449&amp;"*",Census_Metro_List!$A:$A,0)),"No Match")</f>
        <v>No Match</v>
      </c>
      <c r="F449" s="1" t="str">
        <f t="shared" si="19"/>
        <v>AR</v>
      </c>
      <c r="G449" s="1" t="str">
        <f t="shared" si="20"/>
        <v>Review</v>
      </c>
    </row>
    <row r="450" spans="1:7" hidden="1" x14ac:dyDescent="0.35">
      <c r="A450" s="1" t="s">
        <v>851</v>
      </c>
      <c r="B450" s="1" t="s">
        <v>137</v>
      </c>
      <c r="C450" s="1" t="s">
        <v>1298</v>
      </c>
      <c r="D450" s="1" t="str">
        <f t="shared" ref="D450:D513" si="21">LEFT(A450,FIND(",",A450)-1)</f>
        <v>Grand Island</v>
      </c>
      <c r="E450" s="1" t="str">
        <f>IFERROR(INDEX(Census_Metro_List!$A:$A,MATCH(D450&amp;"*",Census_Metro_List!$A:$A,0)),"No Match")</f>
        <v>Grand Island, NE Metro Area</v>
      </c>
      <c r="F450" s="1" t="str">
        <f t="shared" ref="F450:F513" si="22">TRIM(RIGHT(A450,LEN(A450)-FIND(",",A450)))</f>
        <v>NE</v>
      </c>
      <c r="G450" s="1" t="str">
        <f t="shared" ref="G450:G513" si="23">IF(E450="No Match","Review",IF(ISNUMBER(SEARCH(F450,E450)),"Likely Match","Review"))</f>
        <v>Likely Match</v>
      </c>
    </row>
    <row r="451" spans="1:7" x14ac:dyDescent="0.35">
      <c r="A451" s="1" t="s">
        <v>852</v>
      </c>
      <c r="B451" s="1"/>
      <c r="C451" s="1" t="s">
        <v>1299</v>
      </c>
      <c r="D451" s="1" t="str">
        <f t="shared" si="21"/>
        <v>Port Angeles</v>
      </c>
      <c r="E451" s="1" t="str">
        <f>IFERROR(INDEX(Census_Metro_List!$A:$A,MATCH(D451&amp;"*",Census_Metro_List!$A:$A,0)),"No Match")</f>
        <v>No Match</v>
      </c>
      <c r="F451" s="1" t="str">
        <f t="shared" si="22"/>
        <v>WA</v>
      </c>
      <c r="G451" s="1" t="str">
        <f t="shared" si="23"/>
        <v>Review</v>
      </c>
    </row>
    <row r="452" spans="1:7" x14ac:dyDescent="0.35">
      <c r="A452" s="1" t="s">
        <v>853</v>
      </c>
      <c r="B452" s="1"/>
      <c r="C452" s="1" t="s">
        <v>1299</v>
      </c>
      <c r="D452" s="1" t="str">
        <f t="shared" si="21"/>
        <v>Auburn</v>
      </c>
      <c r="E452" s="1" t="str">
        <f>IFERROR(INDEX(Census_Metro_List!$A:$A,MATCH(D452&amp;"*",Census_Metro_List!$A:$A,0)),"No Match")</f>
        <v>Auburn-Opelika, AL Metro Area</v>
      </c>
      <c r="F452" s="1" t="str">
        <f t="shared" si="22"/>
        <v>NY</v>
      </c>
      <c r="G452" s="1" t="str">
        <f t="shared" si="23"/>
        <v>Review</v>
      </c>
    </row>
    <row r="453" spans="1:7" x14ac:dyDescent="0.35">
      <c r="A453" s="1" t="s">
        <v>854</v>
      </c>
      <c r="B453" s="1"/>
      <c r="C453" s="1" t="s">
        <v>1299</v>
      </c>
      <c r="D453" s="1" t="str">
        <f t="shared" si="21"/>
        <v>Huntsville</v>
      </c>
      <c r="E453" s="1" t="str">
        <f>IFERROR(INDEX(Census_Metro_List!$A:$A,MATCH(D453&amp;"*",Census_Metro_List!$A:$A,0)),"No Match")</f>
        <v>Huntsville, AL Metro Area</v>
      </c>
      <c r="F453" s="1" t="str">
        <f t="shared" si="22"/>
        <v>TX</v>
      </c>
      <c r="G453" s="1" t="str">
        <f t="shared" si="23"/>
        <v>Review</v>
      </c>
    </row>
    <row r="454" spans="1:7" x14ac:dyDescent="0.35">
      <c r="A454" s="1" t="s">
        <v>855</v>
      </c>
      <c r="B454" s="1"/>
      <c r="C454" s="1" t="s">
        <v>1299</v>
      </c>
      <c r="D454" s="1" t="str">
        <f t="shared" si="21"/>
        <v>Keene</v>
      </c>
      <c r="E454" s="1" t="str">
        <f>IFERROR(INDEX(Census_Metro_List!$A:$A,MATCH(D454&amp;"*",Census_Metro_List!$A:$A,0)),"No Match")</f>
        <v>No Match</v>
      </c>
      <c r="F454" s="1" t="str">
        <f t="shared" si="22"/>
        <v>NH</v>
      </c>
      <c r="G454" s="1" t="str">
        <f t="shared" si="23"/>
        <v>Review</v>
      </c>
    </row>
    <row r="455" spans="1:7" x14ac:dyDescent="0.35">
      <c r="A455" s="1" t="s">
        <v>856</v>
      </c>
      <c r="B455" s="1"/>
      <c r="C455" s="1" t="s">
        <v>1299</v>
      </c>
      <c r="D455" s="1" t="str">
        <f t="shared" si="21"/>
        <v>Heber</v>
      </c>
      <c r="E455" s="1" t="str">
        <f>IFERROR(INDEX(Census_Metro_List!$A:$A,MATCH(D455&amp;"*",Census_Metro_List!$A:$A,0)),"No Match")</f>
        <v>No Match</v>
      </c>
      <c r="F455" s="1" t="str">
        <f t="shared" si="22"/>
        <v>UT</v>
      </c>
      <c r="G455" s="1" t="str">
        <f t="shared" si="23"/>
        <v>Review</v>
      </c>
    </row>
    <row r="456" spans="1:7" x14ac:dyDescent="0.35">
      <c r="A456" s="1" t="s">
        <v>857</v>
      </c>
      <c r="B456" s="1"/>
      <c r="C456" s="1" t="s">
        <v>1299</v>
      </c>
      <c r="D456" s="1" t="str">
        <f t="shared" si="21"/>
        <v>Quincy</v>
      </c>
      <c r="E456" s="1" t="str">
        <f>IFERROR(INDEX(Census_Metro_List!$A:$A,MATCH(D456&amp;"*",Census_Metro_List!$A:$A,0)),"No Match")</f>
        <v>No Match</v>
      </c>
      <c r="F456" s="1" t="str">
        <f t="shared" si="22"/>
        <v>IL</v>
      </c>
      <c r="G456" s="1" t="str">
        <f t="shared" si="23"/>
        <v>Review</v>
      </c>
    </row>
    <row r="457" spans="1:7" hidden="1" x14ac:dyDescent="0.35">
      <c r="A457" s="1" t="s">
        <v>858</v>
      </c>
      <c r="B457" s="1" t="s">
        <v>318</v>
      </c>
      <c r="C457" s="1" t="s">
        <v>1298</v>
      </c>
      <c r="D457" s="1" t="str">
        <f t="shared" si="21"/>
        <v>Sandusky</v>
      </c>
      <c r="E457" s="1" t="str">
        <f>IFERROR(INDEX(Census_Metro_List!$A:$A,MATCH(D457&amp;"*",Census_Metro_List!$A:$A,0)),"No Match")</f>
        <v>Sandusky, OH Metro Area</v>
      </c>
      <c r="F457" s="1" t="str">
        <f t="shared" si="22"/>
        <v>OH</v>
      </c>
      <c r="G457" s="1" t="str">
        <f t="shared" si="23"/>
        <v>Likely Match</v>
      </c>
    </row>
    <row r="458" spans="1:7" x14ac:dyDescent="0.35">
      <c r="A458" s="1" t="s">
        <v>859</v>
      </c>
      <c r="B458" s="1"/>
      <c r="C458" s="1" t="s">
        <v>1299</v>
      </c>
      <c r="D458" s="1" t="str">
        <f t="shared" si="21"/>
        <v>Findlay</v>
      </c>
      <c r="E458" s="1" t="str">
        <f>IFERROR(INDEX(Census_Metro_List!$A:$A,MATCH(D458&amp;"*",Census_Metro_List!$A:$A,0)),"No Match")</f>
        <v>No Match</v>
      </c>
      <c r="F458" s="1" t="str">
        <f t="shared" si="22"/>
        <v>OH</v>
      </c>
      <c r="G458" s="1" t="str">
        <f t="shared" si="23"/>
        <v>Review</v>
      </c>
    </row>
    <row r="459" spans="1:7" x14ac:dyDescent="0.35">
      <c r="A459" s="1" t="s">
        <v>860</v>
      </c>
      <c r="B459" s="1"/>
      <c r="C459" s="1" t="s">
        <v>1299</v>
      </c>
      <c r="D459" s="1" t="str">
        <f t="shared" si="21"/>
        <v>Frankfort</v>
      </c>
      <c r="E459" s="1" t="str">
        <f>IFERROR(INDEX(Census_Metro_List!$A:$A,MATCH(D459&amp;"*",Census_Metro_List!$A:$A,0)),"No Match")</f>
        <v>No Match</v>
      </c>
      <c r="F459" s="1" t="str">
        <f t="shared" si="22"/>
        <v>KY</v>
      </c>
      <c r="G459" s="1" t="str">
        <f t="shared" si="23"/>
        <v>Review</v>
      </c>
    </row>
    <row r="460" spans="1:7" x14ac:dyDescent="0.35">
      <c r="A460" s="1" t="s">
        <v>861</v>
      </c>
      <c r="B460" s="1"/>
      <c r="C460" s="1" t="s">
        <v>1299</v>
      </c>
      <c r="D460" s="1" t="str">
        <f t="shared" si="21"/>
        <v>Danville</v>
      </c>
      <c r="E460" s="1" t="str">
        <f>IFERROR(INDEX(Census_Metro_List!$A:$A,MATCH(D460&amp;"*",Census_Metro_List!$A:$A,0)),"No Match")</f>
        <v>No Match</v>
      </c>
      <c r="F460" s="1" t="str">
        <f t="shared" si="22"/>
        <v>IL</v>
      </c>
      <c r="G460" s="1" t="str">
        <f t="shared" si="23"/>
        <v>Review</v>
      </c>
    </row>
    <row r="461" spans="1:7" x14ac:dyDescent="0.35">
      <c r="A461" s="1" t="s">
        <v>862</v>
      </c>
      <c r="B461" s="1"/>
      <c r="C461" s="1" t="s">
        <v>1299</v>
      </c>
      <c r="D461" s="1" t="str">
        <f t="shared" si="21"/>
        <v>Aberdeen</v>
      </c>
      <c r="E461" s="1" t="str">
        <f>IFERROR(INDEX(Census_Metro_List!$A:$A,MATCH(D461&amp;"*",Census_Metro_List!$A:$A,0)),"No Match")</f>
        <v>No Match</v>
      </c>
      <c r="F461" s="1" t="str">
        <f t="shared" si="22"/>
        <v>WA</v>
      </c>
      <c r="G461" s="1" t="str">
        <f t="shared" si="23"/>
        <v>Review</v>
      </c>
    </row>
    <row r="462" spans="1:7" x14ac:dyDescent="0.35">
      <c r="A462" s="1" t="s">
        <v>863</v>
      </c>
      <c r="B462" s="1"/>
      <c r="C462" s="1" t="s">
        <v>1299</v>
      </c>
      <c r="D462" s="1" t="str">
        <f t="shared" si="21"/>
        <v>Portsmouth</v>
      </c>
      <c r="E462" s="1" t="str">
        <f>IFERROR(INDEX(Census_Metro_List!$A:$A,MATCH(D462&amp;"*",Census_Metro_List!$A:$A,0)),"No Match")</f>
        <v>No Match</v>
      </c>
      <c r="F462" s="1" t="str">
        <f t="shared" si="22"/>
        <v>OH</v>
      </c>
      <c r="G462" s="1" t="str">
        <f t="shared" si="23"/>
        <v>Review</v>
      </c>
    </row>
    <row r="463" spans="1:7" x14ac:dyDescent="0.35">
      <c r="A463" s="1" t="s">
        <v>864</v>
      </c>
      <c r="B463" s="1"/>
      <c r="C463" s="1" t="s">
        <v>1299</v>
      </c>
      <c r="D463" s="1" t="str">
        <f t="shared" si="21"/>
        <v>Somerset</v>
      </c>
      <c r="E463" s="1" t="str">
        <f>IFERROR(INDEX(Census_Metro_List!$A:$A,MATCH(D463&amp;"*",Census_Metro_List!$A:$A,0)),"No Match")</f>
        <v>No Match</v>
      </c>
      <c r="F463" s="1" t="str">
        <f t="shared" si="22"/>
        <v>PA</v>
      </c>
      <c r="G463" s="1" t="str">
        <f t="shared" si="23"/>
        <v>Review</v>
      </c>
    </row>
    <row r="464" spans="1:7" x14ac:dyDescent="0.35">
      <c r="A464" s="1" t="s">
        <v>865</v>
      </c>
      <c r="B464" s="1"/>
      <c r="C464" s="1" t="s">
        <v>1299</v>
      </c>
      <c r="D464" s="1" t="str">
        <f t="shared" si="21"/>
        <v>Wisconsin Rapids</v>
      </c>
      <c r="E464" s="1" t="str">
        <f>IFERROR(INDEX(Census_Metro_List!$A:$A,MATCH(D464&amp;"*",Census_Metro_List!$A:$A,0)),"No Match")</f>
        <v>No Match</v>
      </c>
      <c r="F464" s="1" t="str">
        <f t="shared" si="22"/>
        <v>WI</v>
      </c>
      <c r="G464" s="1" t="str">
        <f t="shared" si="23"/>
        <v>Review</v>
      </c>
    </row>
    <row r="465" spans="1:7" x14ac:dyDescent="0.35">
      <c r="A465" s="1" t="s">
        <v>866</v>
      </c>
      <c r="B465" s="1"/>
      <c r="C465" s="1" t="s">
        <v>1299</v>
      </c>
      <c r="D465" s="1" t="str">
        <f t="shared" si="21"/>
        <v>Jefferson</v>
      </c>
      <c r="E465" s="1" t="str">
        <f>IFERROR(INDEX(Census_Metro_List!$A:$A,MATCH(D465&amp;"*",Census_Metro_List!$A:$A,0)),"No Match")</f>
        <v>Jefferson City, MO Metro Area</v>
      </c>
      <c r="F465" s="1" t="str">
        <f t="shared" si="22"/>
        <v>GA</v>
      </c>
      <c r="G465" s="1" t="str">
        <f t="shared" si="23"/>
        <v>Review</v>
      </c>
    </row>
    <row r="466" spans="1:7" x14ac:dyDescent="0.35">
      <c r="A466" s="1" t="s">
        <v>867</v>
      </c>
      <c r="B466" s="1"/>
      <c r="C466" s="1" t="s">
        <v>1299</v>
      </c>
      <c r="D466" s="1" t="str">
        <f t="shared" si="21"/>
        <v>Kapaa</v>
      </c>
      <c r="E466" s="1" t="str">
        <f>IFERROR(INDEX(Census_Metro_List!$A:$A,MATCH(D466&amp;"*",Census_Metro_List!$A:$A,0)),"No Match")</f>
        <v>No Match</v>
      </c>
      <c r="F466" s="1" t="str">
        <f t="shared" si="22"/>
        <v>HI</v>
      </c>
      <c r="G466" s="1" t="str">
        <f t="shared" si="23"/>
        <v>Review</v>
      </c>
    </row>
    <row r="467" spans="1:7" x14ac:dyDescent="0.35">
      <c r="A467" s="1" t="s">
        <v>868</v>
      </c>
      <c r="B467" s="1"/>
      <c r="C467" s="1" t="s">
        <v>1299</v>
      </c>
      <c r="D467" s="1" t="str">
        <f t="shared" si="21"/>
        <v>Palatka</v>
      </c>
      <c r="E467" s="1" t="str">
        <f>IFERROR(INDEX(Census_Metro_List!$A:$A,MATCH(D467&amp;"*",Census_Metro_List!$A:$A,0)),"No Match")</f>
        <v>No Match</v>
      </c>
      <c r="F467" s="1" t="str">
        <f t="shared" si="22"/>
        <v>FL</v>
      </c>
      <c r="G467" s="1" t="str">
        <f t="shared" si="23"/>
        <v>Review</v>
      </c>
    </row>
    <row r="468" spans="1:7" x14ac:dyDescent="0.35">
      <c r="A468" s="1" t="s">
        <v>869</v>
      </c>
      <c r="B468" s="1"/>
      <c r="C468" s="1" t="s">
        <v>1299</v>
      </c>
      <c r="D468" s="1" t="str">
        <f t="shared" si="21"/>
        <v>Gallup</v>
      </c>
      <c r="E468" s="1" t="str">
        <f>IFERROR(INDEX(Census_Metro_List!$A:$A,MATCH(D468&amp;"*",Census_Metro_List!$A:$A,0)),"No Match")</f>
        <v>No Match</v>
      </c>
      <c r="F468" s="1" t="str">
        <f t="shared" si="22"/>
        <v>NM</v>
      </c>
      <c r="G468" s="1" t="str">
        <f t="shared" si="23"/>
        <v>Review</v>
      </c>
    </row>
    <row r="469" spans="1:7" x14ac:dyDescent="0.35">
      <c r="A469" s="1" t="s">
        <v>870</v>
      </c>
      <c r="B469" s="1"/>
      <c r="C469" s="1" t="s">
        <v>1299</v>
      </c>
      <c r="D469" s="1" t="str">
        <f t="shared" si="21"/>
        <v>Hobbs</v>
      </c>
      <c r="E469" s="1" t="str">
        <f>IFERROR(INDEX(Census_Metro_List!$A:$A,MATCH(D469&amp;"*",Census_Metro_List!$A:$A,0)),"No Match")</f>
        <v>No Match</v>
      </c>
      <c r="F469" s="1" t="str">
        <f t="shared" si="22"/>
        <v>NM</v>
      </c>
      <c r="G469" s="1" t="str">
        <f t="shared" si="23"/>
        <v>Review</v>
      </c>
    </row>
    <row r="470" spans="1:7" x14ac:dyDescent="0.35">
      <c r="A470" s="1" t="s">
        <v>871</v>
      </c>
      <c r="B470" s="1"/>
      <c r="C470" s="1" t="s">
        <v>1299</v>
      </c>
      <c r="D470" s="1" t="str">
        <f t="shared" si="21"/>
        <v>Shawnee</v>
      </c>
      <c r="E470" s="1" t="str">
        <f>IFERROR(INDEX(Census_Metro_List!$A:$A,MATCH(D470&amp;"*",Census_Metro_List!$A:$A,0)),"No Match")</f>
        <v>No Match</v>
      </c>
      <c r="F470" s="1" t="str">
        <f t="shared" si="22"/>
        <v>OK</v>
      </c>
      <c r="G470" s="1" t="str">
        <f t="shared" si="23"/>
        <v>Review</v>
      </c>
    </row>
    <row r="471" spans="1:7" x14ac:dyDescent="0.35">
      <c r="A471" s="1" t="s">
        <v>872</v>
      </c>
      <c r="B471" s="1"/>
      <c r="C471" s="1" t="s">
        <v>1299</v>
      </c>
      <c r="D471" s="1" t="str">
        <f t="shared" si="21"/>
        <v>Mount Airy</v>
      </c>
      <c r="E471" s="1" t="str">
        <f>IFERROR(INDEX(Census_Metro_List!$A:$A,MATCH(D471&amp;"*",Census_Metro_List!$A:$A,0)),"No Match")</f>
        <v>No Match</v>
      </c>
      <c r="F471" s="1" t="str">
        <f t="shared" si="22"/>
        <v>NC</v>
      </c>
      <c r="G471" s="1" t="str">
        <f t="shared" si="23"/>
        <v>Review</v>
      </c>
    </row>
    <row r="472" spans="1:7" x14ac:dyDescent="0.35">
      <c r="A472" s="1" t="s">
        <v>873</v>
      </c>
      <c r="B472" s="1"/>
      <c r="C472" s="1" t="s">
        <v>1299</v>
      </c>
      <c r="D472" s="1" t="str">
        <f t="shared" si="21"/>
        <v>Stevens Point</v>
      </c>
      <c r="E472" s="1" t="str">
        <f>IFERROR(INDEX(Census_Metro_List!$A:$A,MATCH(D472&amp;"*",Census_Metro_List!$A:$A,0)),"No Match")</f>
        <v>No Match</v>
      </c>
      <c r="F472" s="1" t="str">
        <f t="shared" si="22"/>
        <v>WI</v>
      </c>
      <c r="G472" s="1" t="str">
        <f t="shared" si="23"/>
        <v>Review</v>
      </c>
    </row>
    <row r="473" spans="1:7" x14ac:dyDescent="0.35">
      <c r="A473" s="1" t="s">
        <v>874</v>
      </c>
      <c r="B473" s="1"/>
      <c r="C473" s="1" t="s">
        <v>1299</v>
      </c>
      <c r="D473" s="1" t="str">
        <f t="shared" si="21"/>
        <v>Greeneville</v>
      </c>
      <c r="E473" s="1" t="str">
        <f>IFERROR(INDEX(Census_Metro_List!$A:$A,MATCH(D473&amp;"*",Census_Metro_List!$A:$A,0)),"No Match")</f>
        <v>No Match</v>
      </c>
      <c r="F473" s="1" t="str">
        <f t="shared" si="22"/>
        <v>TN</v>
      </c>
      <c r="G473" s="1" t="str">
        <f t="shared" si="23"/>
        <v>Review</v>
      </c>
    </row>
    <row r="474" spans="1:7" x14ac:dyDescent="0.35">
      <c r="A474" s="1" t="s">
        <v>875</v>
      </c>
      <c r="B474" s="1"/>
      <c r="C474" s="1" t="s">
        <v>1299</v>
      </c>
      <c r="D474" s="1" t="str">
        <f t="shared" si="21"/>
        <v>Greenwood</v>
      </c>
      <c r="E474" s="1" t="str">
        <f>IFERROR(INDEX(Census_Metro_List!$A:$A,MATCH(D474&amp;"*",Census_Metro_List!$A:$A,0)),"No Match")</f>
        <v>No Match</v>
      </c>
      <c r="F474" s="1" t="str">
        <f t="shared" si="22"/>
        <v>SC</v>
      </c>
      <c r="G474" s="1" t="str">
        <f t="shared" si="23"/>
        <v>Review</v>
      </c>
    </row>
    <row r="475" spans="1:7" x14ac:dyDescent="0.35">
      <c r="A475" s="1" t="s">
        <v>876</v>
      </c>
      <c r="B475" s="1"/>
      <c r="C475" s="1" t="s">
        <v>1299</v>
      </c>
      <c r="D475" s="1" t="str">
        <f t="shared" si="21"/>
        <v>Lake City</v>
      </c>
      <c r="E475" s="1" t="str">
        <f>IFERROR(INDEX(Census_Metro_List!$A:$A,MATCH(D475&amp;"*",Census_Metro_List!$A:$A,0)),"No Match")</f>
        <v>No Match</v>
      </c>
      <c r="F475" s="1" t="str">
        <f t="shared" si="22"/>
        <v>FL</v>
      </c>
      <c r="G475" s="1" t="str">
        <f t="shared" si="23"/>
        <v>Review</v>
      </c>
    </row>
    <row r="476" spans="1:7" x14ac:dyDescent="0.35">
      <c r="A476" s="1" t="s">
        <v>877</v>
      </c>
      <c r="B476" s="1"/>
      <c r="C476" s="1" t="s">
        <v>1299</v>
      </c>
      <c r="D476" s="1" t="str">
        <f t="shared" si="21"/>
        <v>Klamath Falls</v>
      </c>
      <c r="E476" s="1" t="str">
        <f>IFERROR(INDEX(Census_Metro_List!$A:$A,MATCH(D476&amp;"*",Census_Metro_List!$A:$A,0)),"No Match")</f>
        <v>No Match</v>
      </c>
      <c r="F476" s="1" t="str">
        <f t="shared" si="22"/>
        <v>OR</v>
      </c>
      <c r="G476" s="1" t="str">
        <f t="shared" si="23"/>
        <v>Review</v>
      </c>
    </row>
    <row r="477" spans="1:7" x14ac:dyDescent="0.35">
      <c r="A477" s="1" t="s">
        <v>878</v>
      </c>
      <c r="B477" s="1"/>
      <c r="C477" s="1" t="s">
        <v>1299</v>
      </c>
      <c r="D477" s="1" t="str">
        <f t="shared" si="21"/>
        <v>Morehead City</v>
      </c>
      <c r="E477" s="1" t="str">
        <f>IFERROR(INDEX(Census_Metro_List!$A:$A,MATCH(D477&amp;"*",Census_Metro_List!$A:$A,0)),"No Match")</f>
        <v>No Match</v>
      </c>
      <c r="F477" s="1" t="str">
        <f t="shared" si="22"/>
        <v>NC</v>
      </c>
      <c r="G477" s="1" t="str">
        <f t="shared" si="23"/>
        <v>Review</v>
      </c>
    </row>
    <row r="478" spans="1:7" x14ac:dyDescent="0.35">
      <c r="A478" s="1" t="s">
        <v>879</v>
      </c>
      <c r="B478" s="1"/>
      <c r="C478" s="1" t="s">
        <v>1299</v>
      </c>
      <c r="D478" s="1" t="str">
        <f t="shared" si="21"/>
        <v>Clearlake</v>
      </c>
      <c r="E478" s="1" t="str">
        <f>IFERROR(INDEX(Census_Metro_List!$A:$A,MATCH(D478&amp;"*",Census_Metro_List!$A:$A,0)),"No Match")</f>
        <v>No Match</v>
      </c>
      <c r="F478" s="1" t="str">
        <f t="shared" si="22"/>
        <v>CA</v>
      </c>
      <c r="G478" s="1" t="str">
        <f t="shared" si="23"/>
        <v>Review</v>
      </c>
    </row>
    <row r="479" spans="1:7" x14ac:dyDescent="0.35">
      <c r="A479" s="1" t="s">
        <v>880</v>
      </c>
      <c r="B479" s="1"/>
      <c r="C479" s="1" t="s">
        <v>1299</v>
      </c>
      <c r="D479" s="1" t="str">
        <f t="shared" si="21"/>
        <v>Alamogordo</v>
      </c>
      <c r="E479" s="1" t="str">
        <f>IFERROR(INDEX(Census_Metro_List!$A:$A,MATCH(D479&amp;"*",Census_Metro_List!$A:$A,0)),"No Match")</f>
        <v>No Match</v>
      </c>
      <c r="F479" s="1" t="str">
        <f t="shared" si="22"/>
        <v>NM</v>
      </c>
      <c r="G479" s="1" t="str">
        <f t="shared" si="23"/>
        <v>Review</v>
      </c>
    </row>
    <row r="480" spans="1:7" x14ac:dyDescent="0.35">
      <c r="A480" s="1" t="s">
        <v>881</v>
      </c>
      <c r="B480" s="1"/>
      <c r="C480" s="1" t="s">
        <v>1299</v>
      </c>
      <c r="D480" s="1" t="str">
        <f t="shared" si="21"/>
        <v>Roanoke Rapids</v>
      </c>
      <c r="E480" s="1" t="str">
        <f>IFERROR(INDEX(Census_Metro_List!$A:$A,MATCH(D480&amp;"*",Census_Metro_List!$A:$A,0)),"No Match")</f>
        <v>No Match</v>
      </c>
      <c r="F480" s="1" t="str">
        <f t="shared" si="22"/>
        <v>NC</v>
      </c>
      <c r="G480" s="1" t="str">
        <f t="shared" si="23"/>
        <v>Review</v>
      </c>
    </row>
    <row r="481" spans="1:7" x14ac:dyDescent="0.35">
      <c r="A481" s="1" t="s">
        <v>882</v>
      </c>
      <c r="B481" s="1"/>
      <c r="C481" s="1" t="s">
        <v>1299</v>
      </c>
      <c r="D481" s="1" t="str">
        <f t="shared" si="21"/>
        <v>Farmington</v>
      </c>
      <c r="E481" s="1" t="str">
        <f>IFERROR(INDEX(Census_Metro_List!$A:$A,MATCH(D481&amp;"*",Census_Metro_List!$A:$A,0)),"No Match")</f>
        <v>Farmington, NM Metro Area</v>
      </c>
      <c r="F481" s="1" t="str">
        <f t="shared" si="22"/>
        <v>MO</v>
      </c>
      <c r="G481" s="1" t="str">
        <f t="shared" si="23"/>
        <v>Review</v>
      </c>
    </row>
    <row r="482" spans="1:7" x14ac:dyDescent="0.35">
      <c r="A482" s="1" t="s">
        <v>883</v>
      </c>
      <c r="B482" s="1"/>
      <c r="C482" s="1" t="s">
        <v>1299</v>
      </c>
      <c r="D482" s="1" t="str">
        <f t="shared" si="21"/>
        <v>Muskogee</v>
      </c>
      <c r="E482" s="1" t="str">
        <f>IFERROR(INDEX(Census_Metro_List!$A:$A,MATCH(D482&amp;"*",Census_Metro_List!$A:$A,0)),"No Match")</f>
        <v>No Match</v>
      </c>
      <c r="F482" s="1" t="str">
        <f t="shared" si="22"/>
        <v>OK</v>
      </c>
      <c r="G482" s="1" t="str">
        <f t="shared" si="23"/>
        <v>Review</v>
      </c>
    </row>
    <row r="483" spans="1:7" x14ac:dyDescent="0.35">
      <c r="A483" s="1" t="s">
        <v>884</v>
      </c>
      <c r="B483" s="1"/>
      <c r="C483" s="1" t="s">
        <v>1299</v>
      </c>
      <c r="D483" s="1" t="str">
        <f t="shared" si="21"/>
        <v>Marion</v>
      </c>
      <c r="E483" s="1" t="str">
        <f>IFERROR(INDEX(Census_Metro_List!$A:$A,MATCH(D483&amp;"*",Census_Metro_List!$A:$A,0)),"No Match")</f>
        <v>No Match</v>
      </c>
      <c r="F483" s="1" t="str">
        <f t="shared" si="22"/>
        <v>IN</v>
      </c>
      <c r="G483" s="1" t="str">
        <f t="shared" si="23"/>
        <v>Review</v>
      </c>
    </row>
    <row r="484" spans="1:7" x14ac:dyDescent="0.35">
      <c r="A484" s="1" t="s">
        <v>885</v>
      </c>
      <c r="B484" s="1"/>
      <c r="C484" s="1" t="s">
        <v>1299</v>
      </c>
      <c r="D484" s="1" t="str">
        <f t="shared" si="21"/>
        <v>Faribault</v>
      </c>
      <c r="E484" s="1" t="str">
        <f>IFERROR(INDEX(Census_Metro_List!$A:$A,MATCH(D484&amp;"*",Census_Metro_List!$A:$A,0)),"No Match")</f>
        <v>No Match</v>
      </c>
      <c r="F484" s="1" t="str">
        <f t="shared" si="22"/>
        <v>MN</v>
      </c>
      <c r="G484" s="1" t="str">
        <f t="shared" si="23"/>
        <v>Review</v>
      </c>
    </row>
    <row r="485" spans="1:7" x14ac:dyDescent="0.35">
      <c r="A485" s="1" t="s">
        <v>886</v>
      </c>
      <c r="B485" s="1"/>
      <c r="C485" s="1" t="s">
        <v>1299</v>
      </c>
      <c r="D485" s="1" t="str">
        <f t="shared" si="21"/>
        <v>Richmond</v>
      </c>
      <c r="E485" s="1" t="str">
        <f>IFERROR(INDEX(Census_Metro_List!$A:$A,MATCH(D485&amp;"*",Census_Metro_List!$A:$A,0)),"No Match")</f>
        <v>Richmond, VA Metro Area</v>
      </c>
      <c r="F485" s="1" t="str">
        <f t="shared" si="22"/>
        <v>IN</v>
      </c>
      <c r="G485" s="1" t="str">
        <f t="shared" si="23"/>
        <v>Review</v>
      </c>
    </row>
    <row r="486" spans="1:7" x14ac:dyDescent="0.35">
      <c r="A486" s="1" t="s">
        <v>887</v>
      </c>
      <c r="B486" s="1"/>
      <c r="C486" s="1" t="s">
        <v>1299</v>
      </c>
      <c r="D486" s="1" t="str">
        <f t="shared" si="21"/>
        <v>Marquette</v>
      </c>
      <c r="E486" s="1" t="str">
        <f>IFERROR(INDEX(Census_Metro_List!$A:$A,MATCH(D486&amp;"*",Census_Metro_List!$A:$A,0)),"No Match")</f>
        <v>No Match</v>
      </c>
      <c r="F486" s="1" t="str">
        <f t="shared" si="22"/>
        <v>MI</v>
      </c>
      <c r="G486" s="1" t="str">
        <f t="shared" si="23"/>
        <v>Review</v>
      </c>
    </row>
    <row r="487" spans="1:7" x14ac:dyDescent="0.35">
      <c r="A487" s="1" t="s">
        <v>888</v>
      </c>
      <c r="B487" s="1"/>
      <c r="C487" s="1" t="s">
        <v>1299</v>
      </c>
      <c r="D487" s="1" t="str">
        <f t="shared" si="21"/>
        <v>North Wilkesboro</v>
      </c>
      <c r="E487" s="1" t="str">
        <f>IFERROR(INDEX(Census_Metro_List!$A:$A,MATCH(D487&amp;"*",Census_Metro_List!$A:$A,0)),"No Match")</f>
        <v>No Match</v>
      </c>
      <c r="F487" s="1" t="str">
        <f t="shared" si="22"/>
        <v>NC</v>
      </c>
      <c r="G487" s="1" t="str">
        <f t="shared" si="23"/>
        <v>Review</v>
      </c>
    </row>
    <row r="488" spans="1:7" x14ac:dyDescent="0.35">
      <c r="A488" s="1" t="s">
        <v>889</v>
      </c>
      <c r="B488" s="1"/>
      <c r="C488" s="1" t="s">
        <v>1299</v>
      </c>
      <c r="D488" s="1" t="str">
        <f t="shared" si="21"/>
        <v>Mount Pleasant</v>
      </c>
      <c r="E488" s="1" t="str">
        <f>IFERROR(INDEX(Census_Metro_List!$A:$A,MATCH(D488&amp;"*",Census_Metro_List!$A:$A,0)),"No Match")</f>
        <v>No Match</v>
      </c>
      <c r="F488" s="1" t="str">
        <f t="shared" si="22"/>
        <v>MI</v>
      </c>
      <c r="G488" s="1" t="str">
        <f t="shared" si="23"/>
        <v>Review</v>
      </c>
    </row>
    <row r="489" spans="1:7" x14ac:dyDescent="0.35">
      <c r="A489" s="1" t="s">
        <v>890</v>
      </c>
      <c r="B489" s="1"/>
      <c r="C489" s="1" t="s">
        <v>1299</v>
      </c>
      <c r="D489" s="1" t="str">
        <f t="shared" si="21"/>
        <v>Rio Grande City</v>
      </c>
      <c r="E489" s="1" t="str">
        <f>IFERROR(INDEX(Census_Metro_List!$A:$A,MATCH(D489&amp;"*",Census_Metro_List!$A:$A,0)),"No Match")</f>
        <v>No Match</v>
      </c>
      <c r="F489" s="1" t="str">
        <f t="shared" si="22"/>
        <v>TX</v>
      </c>
      <c r="G489" s="1" t="str">
        <f t="shared" si="23"/>
        <v>Review</v>
      </c>
    </row>
    <row r="490" spans="1:7" x14ac:dyDescent="0.35">
      <c r="A490" s="1" t="s">
        <v>891</v>
      </c>
      <c r="B490" s="1"/>
      <c r="C490" s="1" t="s">
        <v>1299</v>
      </c>
      <c r="D490" s="1" t="str">
        <f t="shared" si="21"/>
        <v>Marion</v>
      </c>
      <c r="E490" s="1" t="str">
        <f>IFERROR(INDEX(Census_Metro_List!$A:$A,MATCH(D490&amp;"*",Census_Metro_List!$A:$A,0)),"No Match")</f>
        <v>No Match</v>
      </c>
      <c r="F490" s="1" t="str">
        <f t="shared" si="22"/>
        <v>OH</v>
      </c>
      <c r="G490" s="1" t="str">
        <f t="shared" si="23"/>
        <v>Review</v>
      </c>
    </row>
    <row r="491" spans="1:7" x14ac:dyDescent="0.35">
      <c r="A491" s="1" t="s">
        <v>892</v>
      </c>
      <c r="B491" s="1"/>
      <c r="C491" s="1" t="s">
        <v>1299</v>
      </c>
      <c r="D491" s="1" t="str">
        <f t="shared" si="21"/>
        <v>Baraboo</v>
      </c>
      <c r="E491" s="1" t="str">
        <f>IFERROR(INDEX(Census_Metro_List!$A:$A,MATCH(D491&amp;"*",Census_Metro_List!$A:$A,0)),"No Match")</f>
        <v>No Match</v>
      </c>
      <c r="F491" s="1" t="str">
        <f t="shared" si="22"/>
        <v>WI</v>
      </c>
      <c r="G491" s="1" t="str">
        <f t="shared" si="23"/>
        <v>Review</v>
      </c>
    </row>
    <row r="492" spans="1:7" x14ac:dyDescent="0.35">
      <c r="A492" s="1" t="s">
        <v>893</v>
      </c>
      <c r="B492" s="1"/>
      <c r="C492" s="1" t="s">
        <v>1299</v>
      </c>
      <c r="D492" s="1" t="str">
        <f t="shared" si="21"/>
        <v>Red Bluff</v>
      </c>
      <c r="E492" s="1" t="str">
        <f>IFERROR(INDEX(Census_Metro_List!$A:$A,MATCH(D492&amp;"*",Census_Metro_List!$A:$A,0)),"No Match")</f>
        <v>No Match</v>
      </c>
      <c r="F492" s="1" t="str">
        <f t="shared" si="22"/>
        <v>CA</v>
      </c>
      <c r="G492" s="1" t="str">
        <f t="shared" si="23"/>
        <v>Review</v>
      </c>
    </row>
    <row r="493" spans="1:7" x14ac:dyDescent="0.35">
      <c r="A493" s="1" t="s">
        <v>894</v>
      </c>
      <c r="B493" s="1"/>
      <c r="C493" s="1" t="s">
        <v>1299</v>
      </c>
      <c r="D493" s="1" t="str">
        <f t="shared" si="21"/>
        <v>Marinette</v>
      </c>
      <c r="E493" s="1" t="str">
        <f>IFERROR(INDEX(Census_Metro_List!$A:$A,MATCH(D493&amp;"*",Census_Metro_List!$A:$A,0)),"No Match")</f>
        <v>No Match</v>
      </c>
      <c r="F493" s="1" t="str">
        <f t="shared" si="22"/>
        <v>WI</v>
      </c>
      <c r="G493" s="1" t="str">
        <f t="shared" si="23"/>
        <v>Review</v>
      </c>
    </row>
    <row r="494" spans="1:7" x14ac:dyDescent="0.35">
      <c r="A494" s="1" t="s">
        <v>895</v>
      </c>
      <c r="B494" s="1"/>
      <c r="C494" s="1" t="s">
        <v>1299</v>
      </c>
      <c r="D494" s="1" t="str">
        <f t="shared" si="21"/>
        <v>Roswell</v>
      </c>
      <c r="E494" s="1" t="str">
        <f>IFERROR(INDEX(Census_Metro_List!$A:$A,MATCH(D494&amp;"*",Census_Metro_List!$A:$A,0)),"No Match")</f>
        <v>No Match</v>
      </c>
      <c r="F494" s="1" t="str">
        <f t="shared" si="22"/>
        <v>NM</v>
      </c>
      <c r="G494" s="1" t="str">
        <f t="shared" si="23"/>
        <v>Review</v>
      </c>
    </row>
    <row r="495" spans="1:7" x14ac:dyDescent="0.35">
      <c r="A495" s="1" t="s">
        <v>896</v>
      </c>
      <c r="B495" s="1"/>
      <c r="C495" s="1" t="s">
        <v>1299</v>
      </c>
      <c r="D495" s="1" t="str">
        <f t="shared" si="21"/>
        <v>Shelton</v>
      </c>
      <c r="E495" s="1" t="str">
        <f>IFERROR(INDEX(Census_Metro_List!$A:$A,MATCH(D495&amp;"*",Census_Metro_List!$A:$A,0)),"No Match")</f>
        <v>No Match</v>
      </c>
      <c r="F495" s="1" t="str">
        <f t="shared" si="22"/>
        <v>WA</v>
      </c>
      <c r="G495" s="1" t="str">
        <f t="shared" si="23"/>
        <v>Review</v>
      </c>
    </row>
    <row r="496" spans="1:7" x14ac:dyDescent="0.35">
      <c r="A496" s="1" t="s">
        <v>897</v>
      </c>
      <c r="B496" s="1"/>
      <c r="C496" s="1" t="s">
        <v>1299</v>
      </c>
      <c r="D496" s="1" t="str">
        <f t="shared" si="21"/>
        <v>Dublin</v>
      </c>
      <c r="E496" s="1" t="str">
        <f>IFERROR(INDEX(Census_Metro_List!$A:$A,MATCH(D496&amp;"*",Census_Metro_List!$A:$A,0)),"No Match")</f>
        <v>No Match</v>
      </c>
      <c r="F496" s="1" t="str">
        <f t="shared" si="22"/>
        <v>GA</v>
      </c>
      <c r="G496" s="1" t="str">
        <f t="shared" si="23"/>
        <v>Review</v>
      </c>
    </row>
    <row r="497" spans="1:7" x14ac:dyDescent="0.35">
      <c r="A497" s="1" t="s">
        <v>898</v>
      </c>
      <c r="B497" s="1"/>
      <c r="C497" s="1" t="s">
        <v>1299</v>
      </c>
      <c r="D497" s="1" t="str">
        <f t="shared" si="21"/>
        <v>Nacogdoches</v>
      </c>
      <c r="E497" s="1" t="str">
        <f>IFERROR(INDEX(Census_Metro_List!$A:$A,MATCH(D497&amp;"*",Census_Metro_List!$A:$A,0)),"No Match")</f>
        <v>No Match</v>
      </c>
      <c r="F497" s="1" t="str">
        <f t="shared" si="22"/>
        <v>TX</v>
      </c>
      <c r="G497" s="1" t="str">
        <f t="shared" si="23"/>
        <v>Review</v>
      </c>
    </row>
    <row r="498" spans="1:7" x14ac:dyDescent="0.35">
      <c r="A498" s="1" t="s">
        <v>899</v>
      </c>
      <c r="B498" s="1"/>
      <c r="C498" s="1" t="s">
        <v>1299</v>
      </c>
      <c r="D498" s="1" t="str">
        <f t="shared" si="21"/>
        <v>Somerset</v>
      </c>
      <c r="E498" s="1" t="str">
        <f>IFERROR(INDEX(Census_Metro_List!$A:$A,MATCH(D498&amp;"*",Census_Metro_List!$A:$A,0)),"No Match")</f>
        <v>No Match</v>
      </c>
      <c r="F498" s="1" t="str">
        <f t="shared" si="22"/>
        <v>KY</v>
      </c>
      <c r="G498" s="1" t="str">
        <f t="shared" si="23"/>
        <v>Review</v>
      </c>
    </row>
    <row r="499" spans="1:7" x14ac:dyDescent="0.35">
      <c r="A499" s="1" t="s">
        <v>900</v>
      </c>
      <c r="B499" s="1"/>
      <c r="C499" s="1" t="s">
        <v>1299</v>
      </c>
      <c r="D499" s="1" t="str">
        <f t="shared" si="21"/>
        <v>Coos Bay</v>
      </c>
      <c r="E499" s="1" t="str">
        <f>IFERROR(INDEX(Census_Metro_List!$A:$A,MATCH(D499&amp;"*",Census_Metro_List!$A:$A,0)),"No Match")</f>
        <v>No Match</v>
      </c>
      <c r="F499" s="1" t="str">
        <f t="shared" si="22"/>
        <v>OR</v>
      </c>
      <c r="G499" s="1" t="str">
        <f t="shared" si="23"/>
        <v>Review</v>
      </c>
    </row>
    <row r="500" spans="1:7" x14ac:dyDescent="0.35">
      <c r="A500" s="1" t="s">
        <v>901</v>
      </c>
      <c r="B500" s="1"/>
      <c r="C500" s="1" t="s">
        <v>1299</v>
      </c>
      <c r="D500" s="1" t="str">
        <f t="shared" si="21"/>
        <v>Forest City</v>
      </c>
      <c r="E500" s="1" t="str">
        <f>IFERROR(INDEX(Census_Metro_List!$A:$A,MATCH(D500&amp;"*",Census_Metro_List!$A:$A,0)),"No Match")</f>
        <v>No Match</v>
      </c>
      <c r="F500" s="1" t="str">
        <f t="shared" si="22"/>
        <v>NC</v>
      </c>
      <c r="G500" s="1" t="str">
        <f t="shared" si="23"/>
        <v>Review</v>
      </c>
    </row>
    <row r="501" spans="1:7" x14ac:dyDescent="0.35">
      <c r="A501" s="1" t="s">
        <v>902</v>
      </c>
      <c r="B501" s="1"/>
      <c r="C501" s="1" t="s">
        <v>1299</v>
      </c>
      <c r="D501" s="1" t="str">
        <f t="shared" si="21"/>
        <v>Martinsville</v>
      </c>
      <c r="E501" s="1" t="str">
        <f>IFERROR(INDEX(Census_Metro_List!$A:$A,MATCH(D501&amp;"*",Census_Metro_List!$A:$A,0)),"No Match")</f>
        <v>No Match</v>
      </c>
      <c r="F501" s="1" t="str">
        <f t="shared" si="22"/>
        <v>VA</v>
      </c>
      <c r="G501" s="1" t="str">
        <f t="shared" si="23"/>
        <v>Review</v>
      </c>
    </row>
    <row r="502" spans="1:7" x14ac:dyDescent="0.35">
      <c r="A502" s="1" t="s">
        <v>903</v>
      </c>
      <c r="B502" s="1"/>
      <c r="C502" s="1" t="s">
        <v>1299</v>
      </c>
      <c r="D502" s="1" t="str">
        <f t="shared" si="21"/>
        <v>Rexburg</v>
      </c>
      <c r="E502" s="1" t="str">
        <f>IFERROR(INDEX(Census_Metro_List!$A:$A,MATCH(D502&amp;"*",Census_Metro_List!$A:$A,0)),"No Match")</f>
        <v>No Match</v>
      </c>
      <c r="F502" s="1" t="str">
        <f t="shared" si="22"/>
        <v>ID</v>
      </c>
      <c r="G502" s="1" t="str">
        <f t="shared" si="23"/>
        <v>Review</v>
      </c>
    </row>
    <row r="503" spans="1:7" hidden="1" x14ac:dyDescent="0.35">
      <c r="A503" s="1" t="s">
        <v>904</v>
      </c>
      <c r="B503" s="1" t="s">
        <v>207</v>
      </c>
      <c r="C503" s="1" t="s">
        <v>1298</v>
      </c>
      <c r="D503" s="1" t="str">
        <f t="shared" si="21"/>
        <v>Lewiston</v>
      </c>
      <c r="E503" s="1" t="str">
        <f>IFERROR(INDEX(Census_Metro_List!$A:$A,MATCH(D503&amp;"*",Census_Metro_List!$A:$A,0)),"No Match")</f>
        <v>Lewiston, ID-WA Metro Area</v>
      </c>
      <c r="F503" s="1" t="str">
        <f t="shared" si="22"/>
        <v>ID</v>
      </c>
      <c r="G503" s="1" t="str">
        <f t="shared" si="23"/>
        <v>Likely Match</v>
      </c>
    </row>
    <row r="504" spans="1:7" x14ac:dyDescent="0.35">
      <c r="A504" s="1" t="s">
        <v>905</v>
      </c>
      <c r="B504" s="1"/>
      <c r="C504" s="1" t="s">
        <v>1299</v>
      </c>
      <c r="D504" s="1" t="str">
        <f t="shared" si="21"/>
        <v>Laconia</v>
      </c>
      <c r="E504" s="1" t="str">
        <f>IFERROR(INDEX(Census_Metro_List!$A:$A,MATCH(D504&amp;"*",Census_Metro_List!$A:$A,0)),"No Match")</f>
        <v>No Match</v>
      </c>
      <c r="F504" s="1" t="str">
        <f t="shared" si="22"/>
        <v>NH</v>
      </c>
      <c r="G504" s="1" t="str">
        <f t="shared" si="23"/>
        <v>Review</v>
      </c>
    </row>
    <row r="505" spans="1:7" x14ac:dyDescent="0.35">
      <c r="A505" s="1" t="s">
        <v>906</v>
      </c>
      <c r="B505" s="1"/>
      <c r="C505" s="1" t="s">
        <v>1299</v>
      </c>
      <c r="D505" s="1" t="str">
        <f t="shared" si="21"/>
        <v>Georgetown</v>
      </c>
      <c r="E505" s="1" t="str">
        <f>IFERROR(INDEX(Census_Metro_List!$A:$A,MATCH(D505&amp;"*",Census_Metro_List!$A:$A,0)),"No Match")</f>
        <v>No Match</v>
      </c>
      <c r="F505" s="1" t="str">
        <f t="shared" si="22"/>
        <v>SC</v>
      </c>
      <c r="G505" s="1" t="str">
        <f t="shared" si="23"/>
        <v>Review</v>
      </c>
    </row>
    <row r="506" spans="1:7" x14ac:dyDescent="0.35">
      <c r="A506" s="1" t="s">
        <v>907</v>
      </c>
      <c r="B506" s="1"/>
      <c r="C506" s="1" t="s">
        <v>1299</v>
      </c>
      <c r="D506" s="1" t="str">
        <f t="shared" si="21"/>
        <v>Athens</v>
      </c>
      <c r="E506" s="1" t="str">
        <f>IFERROR(INDEX(Census_Metro_List!$A:$A,MATCH(D506&amp;"*",Census_Metro_List!$A:$A,0)),"No Match")</f>
        <v>Athens-Clarke County, GA Metro Area</v>
      </c>
      <c r="F506" s="1" t="str">
        <f t="shared" si="22"/>
        <v>OH</v>
      </c>
      <c r="G506" s="1" t="str">
        <f t="shared" si="23"/>
        <v>Review</v>
      </c>
    </row>
    <row r="507" spans="1:7" x14ac:dyDescent="0.35">
      <c r="A507" s="1" t="s">
        <v>908</v>
      </c>
      <c r="B507" s="1"/>
      <c r="C507" s="1" t="s">
        <v>1299</v>
      </c>
      <c r="D507" s="1" t="str">
        <f t="shared" si="21"/>
        <v>Sanford</v>
      </c>
      <c r="E507" s="1" t="str">
        <f>IFERROR(INDEX(Census_Metro_List!$A:$A,MATCH(D507&amp;"*",Census_Metro_List!$A:$A,0)),"No Match")</f>
        <v>No Match</v>
      </c>
      <c r="F507" s="1" t="str">
        <f t="shared" si="22"/>
        <v>NC</v>
      </c>
      <c r="G507" s="1" t="str">
        <f t="shared" si="23"/>
        <v>Review</v>
      </c>
    </row>
    <row r="508" spans="1:7" hidden="1" x14ac:dyDescent="0.35">
      <c r="A508" s="1" t="s">
        <v>909</v>
      </c>
      <c r="B508" s="1" t="s">
        <v>112</v>
      </c>
      <c r="C508" s="1" t="s">
        <v>1298</v>
      </c>
      <c r="D508" s="1" t="str">
        <f t="shared" si="21"/>
        <v>Enid</v>
      </c>
      <c r="E508" s="1" t="str">
        <f>IFERROR(INDEX(Census_Metro_List!$A:$A,MATCH(D508&amp;"*",Census_Metro_List!$A:$A,0)),"No Match")</f>
        <v>Enid, OK Metro Area</v>
      </c>
      <c r="F508" s="1" t="str">
        <f t="shared" si="22"/>
        <v>OK</v>
      </c>
      <c r="G508" s="1" t="str">
        <f t="shared" si="23"/>
        <v>Likely Match</v>
      </c>
    </row>
    <row r="509" spans="1:7" x14ac:dyDescent="0.35">
      <c r="A509" s="1" t="s">
        <v>910</v>
      </c>
      <c r="B509" s="1"/>
      <c r="C509" s="1" t="s">
        <v>1299</v>
      </c>
      <c r="D509" s="1" t="str">
        <f t="shared" si="21"/>
        <v>Mount Vernon</v>
      </c>
      <c r="E509" s="1" t="str">
        <f>IFERROR(INDEX(Census_Metro_List!$A:$A,MATCH(D509&amp;"*",Census_Metro_List!$A:$A,0)),"No Match")</f>
        <v>Mount Vernon-Anacortes, WA Metro Area</v>
      </c>
      <c r="F509" s="1" t="str">
        <f t="shared" si="22"/>
        <v>OH</v>
      </c>
      <c r="G509" s="1" t="str">
        <f t="shared" si="23"/>
        <v>Review</v>
      </c>
    </row>
    <row r="510" spans="1:7" hidden="1" x14ac:dyDescent="0.35">
      <c r="A510" s="1" t="s">
        <v>911</v>
      </c>
      <c r="B510" s="1" t="s">
        <v>373</v>
      </c>
      <c r="C510" s="1" t="s">
        <v>1298</v>
      </c>
      <c r="D510" s="1" t="str">
        <f t="shared" si="21"/>
        <v>Walla Walla</v>
      </c>
      <c r="E510" s="1" t="str">
        <f>IFERROR(INDEX(Census_Metro_List!$A:$A,MATCH(D510&amp;"*",Census_Metro_List!$A:$A,0)),"No Match")</f>
        <v>Walla Walla, WA Metro Area</v>
      </c>
      <c r="F510" s="1" t="str">
        <f t="shared" si="22"/>
        <v>WA</v>
      </c>
      <c r="G510" s="1" t="str">
        <f t="shared" si="23"/>
        <v>Likely Match</v>
      </c>
    </row>
    <row r="511" spans="1:7" x14ac:dyDescent="0.35">
      <c r="A511" s="1" t="s">
        <v>912</v>
      </c>
      <c r="B511" s="1"/>
      <c r="C511" s="1" t="s">
        <v>1299</v>
      </c>
      <c r="D511" s="1" t="str">
        <f t="shared" si="21"/>
        <v>Albemarle</v>
      </c>
      <c r="E511" s="1" t="str">
        <f>IFERROR(INDEX(Census_Metro_List!$A:$A,MATCH(D511&amp;"*",Census_Metro_List!$A:$A,0)),"No Match")</f>
        <v>No Match</v>
      </c>
      <c r="F511" s="1" t="str">
        <f t="shared" si="22"/>
        <v>NC</v>
      </c>
      <c r="G511" s="1" t="str">
        <f t="shared" si="23"/>
        <v>Review</v>
      </c>
    </row>
    <row r="512" spans="1:7" x14ac:dyDescent="0.35">
      <c r="A512" s="1" t="s">
        <v>913</v>
      </c>
      <c r="B512" s="1"/>
      <c r="C512" s="1" t="s">
        <v>1299</v>
      </c>
      <c r="D512" s="1" t="str">
        <f t="shared" si="21"/>
        <v>Hutchinson</v>
      </c>
      <c r="E512" s="1" t="str">
        <f>IFERROR(INDEX(Census_Metro_List!$A:$A,MATCH(D512&amp;"*",Census_Metro_List!$A:$A,0)),"No Match")</f>
        <v>No Match</v>
      </c>
      <c r="F512" s="1" t="str">
        <f t="shared" si="22"/>
        <v>KS</v>
      </c>
      <c r="G512" s="1" t="str">
        <f t="shared" si="23"/>
        <v>Review</v>
      </c>
    </row>
    <row r="513" spans="1:7" x14ac:dyDescent="0.35">
      <c r="A513" s="1" t="s">
        <v>914</v>
      </c>
      <c r="B513" s="1"/>
      <c r="C513" s="1" t="s">
        <v>1299</v>
      </c>
      <c r="D513" s="1" t="str">
        <f t="shared" si="21"/>
        <v>Hudson</v>
      </c>
      <c r="E513" s="1" t="str">
        <f>IFERROR(INDEX(Census_Metro_List!$A:$A,MATCH(D513&amp;"*",Census_Metro_List!$A:$A,0)),"No Match")</f>
        <v>No Match</v>
      </c>
      <c r="F513" s="1" t="str">
        <f t="shared" si="22"/>
        <v>NY</v>
      </c>
      <c r="G513" s="1" t="str">
        <f t="shared" si="23"/>
        <v>Review</v>
      </c>
    </row>
    <row r="514" spans="1:7" x14ac:dyDescent="0.35">
      <c r="A514" s="1" t="s">
        <v>915</v>
      </c>
      <c r="B514" s="1"/>
      <c r="C514" s="1" t="s">
        <v>1299</v>
      </c>
      <c r="D514" s="1" t="str">
        <f t="shared" ref="D514:D577" si="24">LEFT(A514,FIND(",",A514)-1)</f>
        <v>Starkville</v>
      </c>
      <c r="E514" s="1" t="str">
        <f>IFERROR(INDEX(Census_Metro_List!$A:$A,MATCH(D514&amp;"*",Census_Metro_List!$A:$A,0)),"No Match")</f>
        <v>No Match</v>
      </c>
      <c r="F514" s="1" t="str">
        <f t="shared" ref="F514:F577" si="25">TRIM(RIGHT(A514,LEN(A514)-FIND(",",A514)))</f>
        <v>MS</v>
      </c>
      <c r="G514" s="1" t="str">
        <f t="shared" ref="G514:G577" si="26">IF(E514="No Match","Review",IF(ISNUMBER(SEARCH(F514,E514)),"Likely Match","Review"))</f>
        <v>Review</v>
      </c>
    </row>
    <row r="515" spans="1:7" x14ac:dyDescent="0.35">
      <c r="A515" s="1" t="s">
        <v>916</v>
      </c>
      <c r="B515" s="1"/>
      <c r="C515" s="1" t="s">
        <v>1299</v>
      </c>
      <c r="D515" s="1" t="str">
        <f t="shared" si="24"/>
        <v>Carlsbad</v>
      </c>
      <c r="E515" s="1" t="str">
        <f>IFERROR(INDEX(Census_Metro_List!$A:$A,MATCH(D515&amp;"*",Census_Metro_List!$A:$A,0)),"No Match")</f>
        <v>No Match</v>
      </c>
      <c r="F515" s="1" t="str">
        <f t="shared" si="25"/>
        <v>NM</v>
      </c>
      <c r="G515" s="1" t="str">
        <f t="shared" si="26"/>
        <v>Review</v>
      </c>
    </row>
    <row r="516" spans="1:7" x14ac:dyDescent="0.35">
      <c r="A516" s="1" t="s">
        <v>917</v>
      </c>
      <c r="B516" s="1"/>
      <c r="C516" s="1" t="s">
        <v>1299</v>
      </c>
      <c r="D516" s="1" t="str">
        <f t="shared" si="24"/>
        <v>Gillette</v>
      </c>
      <c r="E516" s="1" t="str">
        <f>IFERROR(INDEX(Census_Metro_List!$A:$A,MATCH(D516&amp;"*",Census_Metro_List!$A:$A,0)),"No Match")</f>
        <v>No Match</v>
      </c>
      <c r="F516" s="1" t="str">
        <f t="shared" si="25"/>
        <v>WY</v>
      </c>
      <c r="G516" s="1" t="str">
        <f t="shared" si="26"/>
        <v>Review</v>
      </c>
    </row>
    <row r="517" spans="1:7" x14ac:dyDescent="0.35">
      <c r="A517" s="1" t="s">
        <v>918</v>
      </c>
      <c r="B517" s="1"/>
      <c r="C517" s="1" t="s">
        <v>1299</v>
      </c>
      <c r="D517" s="1" t="str">
        <f t="shared" si="24"/>
        <v>Sturgis</v>
      </c>
      <c r="E517" s="1" t="str">
        <f>IFERROR(INDEX(Census_Metro_List!$A:$A,MATCH(D517&amp;"*",Census_Metro_List!$A:$A,0)),"No Match")</f>
        <v>No Match</v>
      </c>
      <c r="F517" s="1" t="str">
        <f t="shared" si="25"/>
        <v>MI</v>
      </c>
      <c r="G517" s="1" t="str">
        <f t="shared" si="26"/>
        <v>Review</v>
      </c>
    </row>
    <row r="518" spans="1:7" x14ac:dyDescent="0.35">
      <c r="A518" s="1" t="s">
        <v>919</v>
      </c>
      <c r="B518" s="1"/>
      <c r="C518" s="1" t="s">
        <v>1299</v>
      </c>
      <c r="D518" s="1" t="str">
        <f t="shared" si="24"/>
        <v>Rutland</v>
      </c>
      <c r="E518" s="1" t="str">
        <f>IFERROR(INDEX(Census_Metro_List!$A:$A,MATCH(D518&amp;"*",Census_Metro_List!$A:$A,0)),"No Match")</f>
        <v>No Match</v>
      </c>
      <c r="F518" s="1" t="str">
        <f t="shared" si="25"/>
        <v>VT</v>
      </c>
      <c r="G518" s="1" t="str">
        <f t="shared" si="26"/>
        <v>Review</v>
      </c>
    </row>
    <row r="519" spans="1:7" x14ac:dyDescent="0.35">
      <c r="A519" s="1" t="s">
        <v>920</v>
      </c>
      <c r="B519" s="1"/>
      <c r="C519" s="1" t="s">
        <v>1299</v>
      </c>
      <c r="D519" s="1" t="str">
        <f t="shared" si="24"/>
        <v>Crossville</v>
      </c>
      <c r="E519" s="1" t="str">
        <f>IFERROR(INDEX(Census_Metro_List!$A:$A,MATCH(D519&amp;"*",Census_Metro_List!$A:$A,0)),"No Match")</f>
        <v>No Match</v>
      </c>
      <c r="F519" s="1" t="str">
        <f t="shared" si="25"/>
        <v>TN</v>
      </c>
      <c r="G519" s="1" t="str">
        <f t="shared" si="26"/>
        <v>Review</v>
      </c>
    </row>
    <row r="520" spans="1:7" x14ac:dyDescent="0.35">
      <c r="A520" s="1" t="s">
        <v>921</v>
      </c>
      <c r="B520" s="1"/>
      <c r="C520" s="1" t="s">
        <v>1299</v>
      </c>
      <c r="D520" s="1" t="str">
        <f t="shared" si="24"/>
        <v>Sayre</v>
      </c>
      <c r="E520" s="1" t="str">
        <f>IFERROR(INDEX(Census_Metro_List!$A:$A,MATCH(D520&amp;"*",Census_Metro_List!$A:$A,0)),"No Match")</f>
        <v>No Match</v>
      </c>
      <c r="F520" s="1" t="str">
        <f t="shared" si="25"/>
        <v>PA</v>
      </c>
      <c r="G520" s="1" t="str">
        <f t="shared" si="26"/>
        <v>Review</v>
      </c>
    </row>
    <row r="521" spans="1:7" x14ac:dyDescent="0.35">
      <c r="A521" s="1" t="s">
        <v>922</v>
      </c>
      <c r="B521" s="1"/>
      <c r="C521" s="1" t="s">
        <v>1299</v>
      </c>
      <c r="D521" s="1" t="str">
        <f t="shared" si="24"/>
        <v>Salina</v>
      </c>
      <c r="E521" s="1" t="str">
        <f>IFERROR(INDEX(Census_Metro_List!$A:$A,MATCH(D521&amp;"*",Census_Metro_List!$A:$A,0)),"No Match")</f>
        <v>Salinas, CA Metro Area</v>
      </c>
      <c r="F521" s="1" t="str">
        <f t="shared" si="25"/>
        <v>KS</v>
      </c>
      <c r="G521" s="1" t="str">
        <f t="shared" si="26"/>
        <v>Review</v>
      </c>
    </row>
    <row r="522" spans="1:7" x14ac:dyDescent="0.35">
      <c r="A522" s="1" t="s">
        <v>923</v>
      </c>
      <c r="B522" s="1"/>
      <c r="C522" s="1" t="s">
        <v>1299</v>
      </c>
      <c r="D522" s="1" t="str">
        <f t="shared" si="24"/>
        <v>Marietta</v>
      </c>
      <c r="E522" s="1" t="str">
        <f>IFERROR(INDEX(Census_Metro_List!$A:$A,MATCH(D522&amp;"*",Census_Metro_List!$A:$A,0)),"No Match")</f>
        <v>No Match</v>
      </c>
      <c r="F522" s="1" t="str">
        <f t="shared" si="25"/>
        <v>OH</v>
      </c>
      <c r="G522" s="1" t="str">
        <f t="shared" si="26"/>
        <v>Review</v>
      </c>
    </row>
    <row r="523" spans="1:7" x14ac:dyDescent="0.35">
      <c r="A523" s="1" t="s">
        <v>924</v>
      </c>
      <c r="B523" s="1"/>
      <c r="C523" s="1" t="s">
        <v>1299</v>
      </c>
      <c r="D523" s="1" t="str">
        <f t="shared" si="24"/>
        <v>Fergus Falls</v>
      </c>
      <c r="E523" s="1" t="str">
        <f>IFERROR(INDEX(Census_Metro_List!$A:$A,MATCH(D523&amp;"*",Census_Metro_List!$A:$A,0)),"No Match")</f>
        <v>No Match</v>
      </c>
      <c r="F523" s="1" t="str">
        <f t="shared" si="25"/>
        <v>MN</v>
      </c>
      <c r="G523" s="1" t="str">
        <f t="shared" si="26"/>
        <v>Review</v>
      </c>
    </row>
    <row r="524" spans="1:7" x14ac:dyDescent="0.35">
      <c r="A524" s="1" t="s">
        <v>925</v>
      </c>
      <c r="B524" s="1"/>
      <c r="C524" s="1" t="s">
        <v>1299</v>
      </c>
      <c r="D524" s="1" t="str">
        <f t="shared" si="24"/>
        <v>Barre</v>
      </c>
      <c r="E524" s="1" t="str">
        <f>IFERROR(INDEX(Census_Metro_List!$A:$A,MATCH(D524&amp;"*",Census_Metro_List!$A:$A,0)),"No Match")</f>
        <v>No Match</v>
      </c>
      <c r="F524" s="1" t="str">
        <f t="shared" si="25"/>
        <v>VT</v>
      </c>
      <c r="G524" s="1" t="str">
        <f t="shared" si="26"/>
        <v>Review</v>
      </c>
    </row>
    <row r="525" spans="1:7" x14ac:dyDescent="0.35">
      <c r="A525" s="1" t="s">
        <v>926</v>
      </c>
      <c r="B525" s="1"/>
      <c r="C525" s="1" t="s">
        <v>1299</v>
      </c>
      <c r="D525" s="1" t="str">
        <f t="shared" si="24"/>
        <v>Fremont</v>
      </c>
      <c r="E525" s="1" t="str">
        <f>IFERROR(INDEX(Census_Metro_List!$A:$A,MATCH(D525&amp;"*",Census_Metro_List!$A:$A,0)),"No Match")</f>
        <v>No Match</v>
      </c>
      <c r="F525" s="1" t="str">
        <f t="shared" si="25"/>
        <v>OH</v>
      </c>
      <c r="G525" s="1" t="str">
        <f t="shared" si="26"/>
        <v>Review</v>
      </c>
    </row>
    <row r="526" spans="1:7" x14ac:dyDescent="0.35">
      <c r="A526" s="1" t="s">
        <v>927</v>
      </c>
      <c r="B526" s="1"/>
      <c r="C526" s="1" t="s">
        <v>1299</v>
      </c>
      <c r="D526" s="1" t="str">
        <f t="shared" si="24"/>
        <v>Oneonta</v>
      </c>
      <c r="E526" s="1" t="str">
        <f>IFERROR(INDEX(Census_Metro_List!$A:$A,MATCH(D526&amp;"*",Census_Metro_List!$A:$A,0)),"No Match")</f>
        <v>No Match</v>
      </c>
      <c r="F526" s="1" t="str">
        <f t="shared" si="25"/>
        <v>NY</v>
      </c>
      <c r="G526" s="1" t="str">
        <f t="shared" si="26"/>
        <v>Review</v>
      </c>
    </row>
    <row r="527" spans="1:7" x14ac:dyDescent="0.35">
      <c r="A527" s="1" t="s">
        <v>928</v>
      </c>
      <c r="B527" s="1"/>
      <c r="C527" s="1" t="s">
        <v>1299</v>
      </c>
      <c r="D527" s="1" t="str">
        <f t="shared" si="24"/>
        <v>Columbus</v>
      </c>
      <c r="E527" s="1" t="str">
        <f>IFERROR(INDEX(Census_Metro_List!$A:$A,MATCH(D527&amp;"*",Census_Metro_List!$A:$A,0)),"No Match")</f>
        <v>Columbus, GA-AL Metro Area</v>
      </c>
      <c r="F527" s="1" t="str">
        <f t="shared" si="25"/>
        <v>MS</v>
      </c>
      <c r="G527" s="1" t="str">
        <f t="shared" si="26"/>
        <v>Review</v>
      </c>
    </row>
    <row r="528" spans="1:7" x14ac:dyDescent="0.35">
      <c r="A528" s="1" t="s">
        <v>929</v>
      </c>
      <c r="B528" s="1"/>
      <c r="C528" s="1" t="s">
        <v>1299</v>
      </c>
      <c r="D528" s="1" t="str">
        <f t="shared" si="24"/>
        <v>Norwalk</v>
      </c>
      <c r="E528" s="1" t="str">
        <f>IFERROR(INDEX(Census_Metro_List!$A:$A,MATCH(D528&amp;"*",Census_Metro_List!$A:$A,0)),"No Match")</f>
        <v>No Match</v>
      </c>
      <c r="F528" s="1" t="str">
        <f t="shared" si="25"/>
        <v>OH</v>
      </c>
      <c r="G528" s="1" t="str">
        <f t="shared" si="26"/>
        <v>Review</v>
      </c>
    </row>
    <row r="529" spans="1:7" x14ac:dyDescent="0.35">
      <c r="A529" s="1" t="s">
        <v>930</v>
      </c>
      <c r="B529" s="1"/>
      <c r="C529" s="1" t="s">
        <v>1299</v>
      </c>
      <c r="D529" s="1" t="str">
        <f t="shared" si="24"/>
        <v>Batavia</v>
      </c>
      <c r="E529" s="1" t="str">
        <f>IFERROR(INDEX(Census_Metro_List!$A:$A,MATCH(D529&amp;"*",Census_Metro_List!$A:$A,0)),"No Match")</f>
        <v>No Match</v>
      </c>
      <c r="F529" s="1" t="str">
        <f t="shared" si="25"/>
        <v>NY</v>
      </c>
      <c r="G529" s="1" t="str">
        <f t="shared" si="26"/>
        <v>Review</v>
      </c>
    </row>
    <row r="530" spans="1:7" x14ac:dyDescent="0.35">
      <c r="A530" s="1" t="s">
        <v>931</v>
      </c>
      <c r="B530" s="1"/>
      <c r="C530" s="1" t="s">
        <v>1299</v>
      </c>
      <c r="D530" s="1" t="str">
        <f t="shared" si="24"/>
        <v>Ardmore</v>
      </c>
      <c r="E530" s="1" t="str">
        <f>IFERROR(INDEX(Census_Metro_List!$A:$A,MATCH(D530&amp;"*",Census_Metro_List!$A:$A,0)),"No Match")</f>
        <v>No Match</v>
      </c>
      <c r="F530" s="1" t="str">
        <f t="shared" si="25"/>
        <v>OK</v>
      </c>
      <c r="G530" s="1" t="str">
        <f t="shared" si="26"/>
        <v>Review</v>
      </c>
    </row>
    <row r="531" spans="1:7" x14ac:dyDescent="0.35">
      <c r="A531" s="1" t="s">
        <v>932</v>
      </c>
      <c r="B531" s="1"/>
      <c r="C531" s="1" t="s">
        <v>1299</v>
      </c>
      <c r="D531" s="1" t="str">
        <f t="shared" si="24"/>
        <v>Palestine</v>
      </c>
      <c r="E531" s="1" t="str">
        <f>IFERROR(INDEX(Census_Metro_List!$A:$A,MATCH(D531&amp;"*",Census_Metro_List!$A:$A,0)),"No Match")</f>
        <v>No Match</v>
      </c>
      <c r="F531" s="1" t="str">
        <f t="shared" si="25"/>
        <v>TX</v>
      </c>
      <c r="G531" s="1" t="str">
        <f t="shared" si="26"/>
        <v>Review</v>
      </c>
    </row>
    <row r="532" spans="1:7" x14ac:dyDescent="0.35">
      <c r="A532" s="1" t="s">
        <v>933</v>
      </c>
      <c r="B532" s="1"/>
      <c r="C532" s="1" t="s">
        <v>1299</v>
      </c>
      <c r="D532" s="1" t="str">
        <f t="shared" si="24"/>
        <v>Fort Madison</v>
      </c>
      <c r="E532" s="1" t="str">
        <f>IFERROR(INDEX(Census_Metro_List!$A:$A,MATCH(D532&amp;"*",Census_Metro_List!$A:$A,0)),"No Match")</f>
        <v>No Match</v>
      </c>
      <c r="F532" s="1" t="str">
        <f t="shared" si="25"/>
        <v>IA</v>
      </c>
      <c r="G532" s="1" t="str">
        <f t="shared" si="26"/>
        <v>Review</v>
      </c>
    </row>
    <row r="533" spans="1:7" x14ac:dyDescent="0.35">
      <c r="A533" s="1" t="s">
        <v>934</v>
      </c>
      <c r="B533" s="1"/>
      <c r="C533" s="1" t="s">
        <v>1299</v>
      </c>
      <c r="D533" s="1" t="str">
        <f t="shared" si="24"/>
        <v>Charleston</v>
      </c>
      <c r="E533" s="1" t="str">
        <f>IFERROR(INDEX(Census_Metro_List!$A:$A,MATCH(D533&amp;"*",Census_Metro_List!$A:$A,0)),"No Match")</f>
        <v>Charleston, WV Metro Area</v>
      </c>
      <c r="F533" s="1" t="str">
        <f t="shared" si="25"/>
        <v>IL</v>
      </c>
      <c r="G533" s="1" t="str">
        <f t="shared" si="26"/>
        <v>Review</v>
      </c>
    </row>
    <row r="534" spans="1:7" x14ac:dyDescent="0.35">
      <c r="A534" s="1" t="s">
        <v>935</v>
      </c>
      <c r="B534" s="1"/>
      <c r="C534" s="1" t="s">
        <v>1299</v>
      </c>
      <c r="D534" s="1" t="str">
        <f t="shared" si="24"/>
        <v>Fernley</v>
      </c>
      <c r="E534" s="1" t="str">
        <f>IFERROR(INDEX(Census_Metro_List!$A:$A,MATCH(D534&amp;"*",Census_Metro_List!$A:$A,0)),"No Match")</f>
        <v>No Match</v>
      </c>
      <c r="F534" s="1" t="str">
        <f t="shared" si="25"/>
        <v>NV</v>
      </c>
      <c r="G534" s="1" t="str">
        <f t="shared" si="26"/>
        <v>Review</v>
      </c>
    </row>
    <row r="535" spans="1:7" hidden="1" x14ac:dyDescent="0.35">
      <c r="A535" s="1" t="s">
        <v>936</v>
      </c>
      <c r="B535" s="1" t="s">
        <v>61</v>
      </c>
      <c r="C535" s="1" t="s">
        <v>1298</v>
      </c>
      <c r="D535" s="1" t="str">
        <f t="shared" si="24"/>
        <v>Carson City</v>
      </c>
      <c r="E535" s="1" t="str">
        <f>IFERROR(INDEX(Census_Metro_List!$A:$A,MATCH(D535&amp;"*",Census_Metro_List!$A:$A,0)),"No Match")</f>
        <v>Carson City, NV Metro Area</v>
      </c>
      <c r="F535" s="1" t="str">
        <f t="shared" si="25"/>
        <v>NV</v>
      </c>
      <c r="G535" s="1" t="str">
        <f t="shared" si="26"/>
        <v>Likely Match</v>
      </c>
    </row>
    <row r="536" spans="1:7" hidden="1" x14ac:dyDescent="0.35">
      <c r="A536" s="1" t="s">
        <v>937</v>
      </c>
      <c r="B536" s="1" t="s">
        <v>105</v>
      </c>
      <c r="C536" s="1" t="s">
        <v>1298</v>
      </c>
      <c r="D536" s="1" t="str">
        <f t="shared" si="24"/>
        <v>Eagle Pass</v>
      </c>
      <c r="E536" s="1" t="str">
        <f>IFERROR(INDEX(Census_Metro_List!$A:$A,MATCH(D536&amp;"*",Census_Metro_List!$A:$A,0)),"No Match")</f>
        <v>Eagle Pass, TX Metro Area</v>
      </c>
      <c r="F536" s="1" t="str">
        <f t="shared" si="25"/>
        <v>TX</v>
      </c>
      <c r="G536" s="1" t="str">
        <f t="shared" si="26"/>
        <v>Likely Match</v>
      </c>
    </row>
    <row r="537" spans="1:7" x14ac:dyDescent="0.35">
      <c r="A537" s="1" t="s">
        <v>938</v>
      </c>
      <c r="B537" s="1"/>
      <c r="C537" s="1" t="s">
        <v>1299</v>
      </c>
      <c r="D537" s="1" t="str">
        <f t="shared" si="24"/>
        <v>Calhoun</v>
      </c>
      <c r="E537" s="1" t="str">
        <f>IFERROR(INDEX(Census_Metro_List!$A:$A,MATCH(D537&amp;"*",Census_Metro_List!$A:$A,0)),"No Match")</f>
        <v>No Match</v>
      </c>
      <c r="F537" s="1" t="str">
        <f t="shared" si="25"/>
        <v>GA</v>
      </c>
      <c r="G537" s="1" t="str">
        <f t="shared" si="26"/>
        <v>Review</v>
      </c>
    </row>
    <row r="538" spans="1:7" x14ac:dyDescent="0.35">
      <c r="A538" s="1" t="s">
        <v>939</v>
      </c>
      <c r="B538" s="1"/>
      <c r="C538" s="1" t="s">
        <v>1299</v>
      </c>
      <c r="D538" s="1" t="str">
        <f t="shared" si="24"/>
        <v>Cullowhee</v>
      </c>
      <c r="E538" s="1" t="str">
        <f>IFERROR(INDEX(Census_Metro_List!$A:$A,MATCH(D538&amp;"*",Census_Metro_List!$A:$A,0)),"No Match")</f>
        <v>No Match</v>
      </c>
      <c r="F538" s="1" t="str">
        <f t="shared" si="25"/>
        <v>NC</v>
      </c>
      <c r="G538" s="1" t="str">
        <f t="shared" si="26"/>
        <v>Review</v>
      </c>
    </row>
    <row r="539" spans="1:7" x14ac:dyDescent="0.35">
      <c r="A539" s="1" t="s">
        <v>940</v>
      </c>
      <c r="B539" s="1"/>
      <c r="C539" s="1" t="s">
        <v>1299</v>
      </c>
      <c r="D539" s="1" t="str">
        <f t="shared" si="24"/>
        <v>Kearney</v>
      </c>
      <c r="E539" s="1" t="str">
        <f>IFERROR(INDEX(Census_Metro_List!$A:$A,MATCH(D539&amp;"*",Census_Metro_List!$A:$A,0)),"No Match")</f>
        <v>No Match</v>
      </c>
      <c r="F539" s="1" t="str">
        <f t="shared" si="25"/>
        <v>NE</v>
      </c>
      <c r="G539" s="1" t="str">
        <f t="shared" si="26"/>
        <v>Review</v>
      </c>
    </row>
    <row r="540" spans="1:7" x14ac:dyDescent="0.35">
      <c r="A540" s="1" t="s">
        <v>941</v>
      </c>
      <c r="B540" s="1"/>
      <c r="C540" s="1" t="s">
        <v>1299</v>
      </c>
      <c r="D540" s="1" t="str">
        <f t="shared" si="24"/>
        <v>Fairmont</v>
      </c>
      <c r="E540" s="1" t="str">
        <f>IFERROR(INDEX(Census_Metro_List!$A:$A,MATCH(D540&amp;"*",Census_Metro_List!$A:$A,0)),"No Match")</f>
        <v>No Match</v>
      </c>
      <c r="F540" s="1" t="str">
        <f t="shared" si="25"/>
        <v>WV</v>
      </c>
      <c r="G540" s="1" t="str">
        <f t="shared" si="26"/>
        <v>Review</v>
      </c>
    </row>
    <row r="541" spans="1:7" x14ac:dyDescent="0.35">
      <c r="A541" s="1" t="s">
        <v>942</v>
      </c>
      <c r="B541" s="1"/>
      <c r="C541" s="1" t="s">
        <v>1299</v>
      </c>
      <c r="D541" s="1" t="str">
        <f t="shared" si="24"/>
        <v>Ontario</v>
      </c>
      <c r="E541" s="1" t="str">
        <f>IFERROR(INDEX(Census_Metro_List!$A:$A,MATCH(D541&amp;"*",Census_Metro_List!$A:$A,0)),"No Match")</f>
        <v>No Match</v>
      </c>
      <c r="F541" s="1" t="str">
        <f t="shared" si="25"/>
        <v>OR</v>
      </c>
      <c r="G541" s="1" t="str">
        <f t="shared" si="26"/>
        <v>Review</v>
      </c>
    </row>
    <row r="542" spans="1:7" x14ac:dyDescent="0.35">
      <c r="A542" s="1" t="s">
        <v>943</v>
      </c>
      <c r="B542" s="1"/>
      <c r="C542" s="1" t="s">
        <v>1299</v>
      </c>
      <c r="D542" s="1" t="str">
        <f t="shared" si="24"/>
        <v>Gaffney</v>
      </c>
      <c r="E542" s="1" t="str">
        <f>IFERROR(INDEX(Census_Metro_List!$A:$A,MATCH(D542&amp;"*",Census_Metro_List!$A:$A,0)),"No Match")</f>
        <v>No Match</v>
      </c>
      <c r="F542" s="1" t="str">
        <f t="shared" si="25"/>
        <v>SC</v>
      </c>
      <c r="G542" s="1" t="str">
        <f t="shared" si="26"/>
        <v>Review</v>
      </c>
    </row>
    <row r="543" spans="1:7" x14ac:dyDescent="0.35">
      <c r="A543" s="1" t="s">
        <v>944</v>
      </c>
      <c r="B543" s="1"/>
      <c r="C543" s="1" t="s">
        <v>1299</v>
      </c>
      <c r="D543" s="1" t="str">
        <f t="shared" si="24"/>
        <v>Picayune</v>
      </c>
      <c r="E543" s="1" t="str">
        <f>IFERROR(INDEX(Census_Metro_List!$A:$A,MATCH(D543&amp;"*",Census_Metro_List!$A:$A,0)),"No Match")</f>
        <v>No Match</v>
      </c>
      <c r="F543" s="1" t="str">
        <f t="shared" si="25"/>
        <v>MS</v>
      </c>
      <c r="G543" s="1" t="str">
        <f t="shared" si="26"/>
        <v>Review</v>
      </c>
    </row>
    <row r="544" spans="1:7" x14ac:dyDescent="0.35">
      <c r="A544" s="1" t="s">
        <v>945</v>
      </c>
      <c r="B544" s="1"/>
      <c r="C544" s="1" t="s">
        <v>1299</v>
      </c>
      <c r="D544" s="1" t="str">
        <f t="shared" si="24"/>
        <v>Sterling</v>
      </c>
      <c r="E544" s="1" t="str">
        <f>IFERROR(INDEX(Census_Metro_List!$A:$A,MATCH(D544&amp;"*",Census_Metro_List!$A:$A,0)),"No Match")</f>
        <v>No Match</v>
      </c>
      <c r="F544" s="1" t="str">
        <f t="shared" si="25"/>
        <v>IL</v>
      </c>
      <c r="G544" s="1" t="str">
        <f t="shared" si="26"/>
        <v>Review</v>
      </c>
    </row>
    <row r="545" spans="1:7" x14ac:dyDescent="0.35">
      <c r="A545" s="1" t="s">
        <v>946</v>
      </c>
      <c r="B545" s="1"/>
      <c r="C545" s="1" t="s">
        <v>1299</v>
      </c>
      <c r="D545" s="1" t="str">
        <f t="shared" si="24"/>
        <v>Branson</v>
      </c>
      <c r="E545" s="1" t="str">
        <f>IFERROR(INDEX(Census_Metro_List!$A:$A,MATCH(D545&amp;"*",Census_Metro_List!$A:$A,0)),"No Match")</f>
        <v>No Match</v>
      </c>
      <c r="F545" s="1" t="str">
        <f t="shared" si="25"/>
        <v>MO</v>
      </c>
      <c r="G545" s="1" t="str">
        <f t="shared" si="26"/>
        <v>Review</v>
      </c>
    </row>
    <row r="546" spans="1:7" x14ac:dyDescent="0.35">
      <c r="A546" s="1" t="s">
        <v>947</v>
      </c>
      <c r="B546" s="1"/>
      <c r="C546" s="1" t="s">
        <v>1299</v>
      </c>
      <c r="D546" s="1" t="str">
        <f t="shared" si="24"/>
        <v>Cedar City</v>
      </c>
      <c r="E546" s="1" t="str">
        <f>IFERROR(INDEX(Census_Metro_List!$A:$A,MATCH(D546&amp;"*",Census_Metro_List!$A:$A,0)),"No Match")</f>
        <v>No Match</v>
      </c>
      <c r="F546" s="1" t="str">
        <f t="shared" si="25"/>
        <v>UT</v>
      </c>
      <c r="G546" s="1" t="str">
        <f t="shared" si="26"/>
        <v>Review</v>
      </c>
    </row>
    <row r="547" spans="1:7" x14ac:dyDescent="0.35">
      <c r="A547" s="1" t="s">
        <v>948</v>
      </c>
      <c r="B547" s="1"/>
      <c r="C547" s="1" t="s">
        <v>1299</v>
      </c>
      <c r="D547" s="1" t="str">
        <f t="shared" si="24"/>
        <v>Waycross</v>
      </c>
      <c r="E547" s="1" t="str">
        <f>IFERROR(INDEX(Census_Metro_List!$A:$A,MATCH(D547&amp;"*",Census_Metro_List!$A:$A,0)),"No Match")</f>
        <v>No Match</v>
      </c>
      <c r="F547" s="1" t="str">
        <f t="shared" si="25"/>
        <v>GA</v>
      </c>
      <c r="G547" s="1" t="str">
        <f t="shared" si="26"/>
        <v>Review</v>
      </c>
    </row>
    <row r="548" spans="1:7" x14ac:dyDescent="0.35">
      <c r="A548" s="1" t="s">
        <v>949</v>
      </c>
      <c r="B548" s="1"/>
      <c r="C548" s="1" t="s">
        <v>1299</v>
      </c>
      <c r="D548" s="1" t="str">
        <f t="shared" si="24"/>
        <v>Oxford</v>
      </c>
      <c r="E548" s="1" t="str">
        <f>IFERROR(INDEX(Census_Metro_List!$A:$A,MATCH(D548&amp;"*",Census_Metro_List!$A:$A,0)),"No Match")</f>
        <v>No Match</v>
      </c>
      <c r="F548" s="1" t="str">
        <f t="shared" si="25"/>
        <v>MS</v>
      </c>
      <c r="G548" s="1" t="str">
        <f t="shared" si="26"/>
        <v>Review</v>
      </c>
    </row>
    <row r="549" spans="1:7" x14ac:dyDescent="0.35">
      <c r="A549" s="1" t="s">
        <v>950</v>
      </c>
      <c r="B549" s="1"/>
      <c r="C549" s="1" t="s">
        <v>1299</v>
      </c>
      <c r="D549" s="1" t="str">
        <f t="shared" si="24"/>
        <v>Jasper</v>
      </c>
      <c r="E549" s="1" t="str">
        <f>IFERROR(INDEX(Census_Metro_List!$A:$A,MATCH(D549&amp;"*",Census_Metro_List!$A:$A,0)),"No Match")</f>
        <v>No Match</v>
      </c>
      <c r="F549" s="1" t="str">
        <f t="shared" si="25"/>
        <v>IN</v>
      </c>
      <c r="G549" s="1" t="str">
        <f t="shared" si="26"/>
        <v>Review</v>
      </c>
    </row>
    <row r="550" spans="1:7" x14ac:dyDescent="0.35">
      <c r="A550" s="1" t="s">
        <v>951</v>
      </c>
      <c r="B550" s="1"/>
      <c r="C550" s="1" t="s">
        <v>1299</v>
      </c>
      <c r="D550" s="1" t="str">
        <f t="shared" si="24"/>
        <v>Edwards</v>
      </c>
      <c r="E550" s="1" t="str">
        <f>IFERROR(INDEX(Census_Metro_List!$A:$A,MATCH(D550&amp;"*",Census_Metro_List!$A:$A,0)),"No Match")</f>
        <v>No Match</v>
      </c>
      <c r="F550" s="1" t="str">
        <f t="shared" si="25"/>
        <v>CO</v>
      </c>
      <c r="G550" s="1" t="str">
        <f t="shared" si="26"/>
        <v>Review</v>
      </c>
    </row>
    <row r="551" spans="1:7" x14ac:dyDescent="0.35">
      <c r="A551" s="1" t="s">
        <v>952</v>
      </c>
      <c r="B551" s="1"/>
      <c r="C551" s="1" t="s">
        <v>1299</v>
      </c>
      <c r="D551" s="1" t="str">
        <f t="shared" si="24"/>
        <v>Durango</v>
      </c>
      <c r="E551" s="1" t="str">
        <f>IFERROR(INDEX(Census_Metro_List!$A:$A,MATCH(D551&amp;"*",Census_Metro_List!$A:$A,0)),"No Match")</f>
        <v>No Match</v>
      </c>
      <c r="F551" s="1" t="str">
        <f t="shared" si="25"/>
        <v>CO</v>
      </c>
      <c r="G551" s="1" t="str">
        <f t="shared" si="26"/>
        <v>Review</v>
      </c>
    </row>
    <row r="552" spans="1:7" x14ac:dyDescent="0.35">
      <c r="A552" s="1" t="s">
        <v>953</v>
      </c>
      <c r="B552" s="1"/>
      <c r="C552" s="1" t="s">
        <v>1299</v>
      </c>
      <c r="D552" s="1" t="str">
        <f t="shared" si="24"/>
        <v>Kinston</v>
      </c>
      <c r="E552" s="1" t="str">
        <f>IFERROR(INDEX(Census_Metro_List!$A:$A,MATCH(D552&amp;"*",Census_Metro_List!$A:$A,0)),"No Match")</f>
        <v>No Match</v>
      </c>
      <c r="F552" s="1" t="str">
        <f t="shared" si="25"/>
        <v>NC</v>
      </c>
      <c r="G552" s="1" t="str">
        <f t="shared" si="26"/>
        <v>Review</v>
      </c>
    </row>
    <row r="553" spans="1:7" x14ac:dyDescent="0.35">
      <c r="A553" s="1" t="s">
        <v>954</v>
      </c>
      <c r="B553" s="1"/>
      <c r="C553" s="1" t="s">
        <v>1299</v>
      </c>
      <c r="D553" s="1" t="str">
        <f t="shared" si="24"/>
        <v>Sonora</v>
      </c>
      <c r="E553" s="1" t="str">
        <f>IFERROR(INDEX(Census_Metro_List!$A:$A,MATCH(D553&amp;"*",Census_Metro_List!$A:$A,0)),"No Match")</f>
        <v>No Match</v>
      </c>
      <c r="F553" s="1" t="str">
        <f t="shared" si="25"/>
        <v>CA</v>
      </c>
      <c r="G553" s="1" t="str">
        <f t="shared" si="26"/>
        <v>Review</v>
      </c>
    </row>
    <row r="554" spans="1:7" x14ac:dyDescent="0.35">
      <c r="A554" s="1" t="s">
        <v>955</v>
      </c>
      <c r="B554" s="1"/>
      <c r="C554" s="1" t="s">
        <v>1299</v>
      </c>
      <c r="D554" s="1" t="str">
        <f t="shared" si="24"/>
        <v>Tiffin</v>
      </c>
      <c r="E554" s="1" t="str">
        <f>IFERROR(INDEX(Census_Metro_List!$A:$A,MATCH(D554&amp;"*",Census_Metro_List!$A:$A,0)),"No Match")</f>
        <v>No Match</v>
      </c>
      <c r="F554" s="1" t="str">
        <f t="shared" si="25"/>
        <v>OH</v>
      </c>
      <c r="G554" s="1" t="str">
        <f t="shared" si="26"/>
        <v>Review</v>
      </c>
    </row>
    <row r="555" spans="1:7" x14ac:dyDescent="0.35">
      <c r="A555" s="1" t="s">
        <v>956</v>
      </c>
      <c r="B555" s="1"/>
      <c r="C555" s="1" t="s">
        <v>1299</v>
      </c>
      <c r="D555" s="1" t="str">
        <f t="shared" si="24"/>
        <v>Batesville</v>
      </c>
      <c r="E555" s="1" t="str">
        <f>IFERROR(INDEX(Census_Metro_List!$A:$A,MATCH(D555&amp;"*",Census_Metro_List!$A:$A,0)),"No Match")</f>
        <v>No Match</v>
      </c>
      <c r="F555" s="1" t="str">
        <f t="shared" si="25"/>
        <v>AR</v>
      </c>
      <c r="G555" s="1" t="str">
        <f t="shared" si="26"/>
        <v>Review</v>
      </c>
    </row>
    <row r="556" spans="1:7" x14ac:dyDescent="0.35">
      <c r="A556" s="1" t="s">
        <v>957</v>
      </c>
      <c r="B556" s="1"/>
      <c r="C556" s="1" t="s">
        <v>1299</v>
      </c>
      <c r="D556" s="1" t="str">
        <f t="shared" si="24"/>
        <v>Point Pleasant</v>
      </c>
      <c r="E556" s="1" t="str">
        <f>IFERROR(INDEX(Census_Metro_List!$A:$A,MATCH(D556&amp;"*",Census_Metro_List!$A:$A,0)),"No Match")</f>
        <v>No Match</v>
      </c>
      <c r="F556" s="1" t="str">
        <f t="shared" si="25"/>
        <v>WV</v>
      </c>
      <c r="G556" s="1" t="str">
        <f t="shared" si="26"/>
        <v>Review</v>
      </c>
    </row>
    <row r="557" spans="1:7" x14ac:dyDescent="0.35">
      <c r="A557" s="1" t="s">
        <v>958</v>
      </c>
      <c r="B557" s="1"/>
      <c r="C557" s="1" t="s">
        <v>1299</v>
      </c>
      <c r="D557" s="1" t="str">
        <f t="shared" si="24"/>
        <v>Elko</v>
      </c>
      <c r="E557" s="1" t="str">
        <f>IFERROR(INDEX(Census_Metro_List!$A:$A,MATCH(D557&amp;"*",Census_Metro_List!$A:$A,0)),"No Match")</f>
        <v>No Match</v>
      </c>
      <c r="F557" s="1" t="str">
        <f t="shared" si="25"/>
        <v>NV</v>
      </c>
      <c r="G557" s="1" t="str">
        <f t="shared" si="26"/>
        <v>Review</v>
      </c>
    </row>
    <row r="558" spans="1:7" x14ac:dyDescent="0.35">
      <c r="A558" s="1" t="s">
        <v>959</v>
      </c>
      <c r="B558" s="1"/>
      <c r="C558" s="1" t="s">
        <v>1299</v>
      </c>
      <c r="D558" s="1" t="str">
        <f t="shared" si="24"/>
        <v>Danville</v>
      </c>
      <c r="E558" s="1" t="str">
        <f>IFERROR(INDEX(Census_Metro_List!$A:$A,MATCH(D558&amp;"*",Census_Metro_List!$A:$A,0)),"No Match")</f>
        <v>No Match</v>
      </c>
      <c r="F558" s="1" t="str">
        <f t="shared" si="25"/>
        <v>KY</v>
      </c>
      <c r="G558" s="1" t="str">
        <f t="shared" si="26"/>
        <v>Review</v>
      </c>
    </row>
    <row r="559" spans="1:7" x14ac:dyDescent="0.35">
      <c r="A559" s="1" t="s">
        <v>960</v>
      </c>
      <c r="B559" s="1"/>
      <c r="C559" s="1" t="s">
        <v>1299</v>
      </c>
      <c r="D559" s="1" t="str">
        <f t="shared" si="24"/>
        <v>Glasgow</v>
      </c>
      <c r="E559" s="1" t="str">
        <f>IFERROR(INDEX(Census_Metro_List!$A:$A,MATCH(D559&amp;"*",Census_Metro_List!$A:$A,0)),"No Match")</f>
        <v>No Match</v>
      </c>
      <c r="F559" s="1" t="str">
        <f t="shared" si="25"/>
        <v>KY</v>
      </c>
      <c r="G559" s="1" t="str">
        <f t="shared" si="26"/>
        <v>Review</v>
      </c>
    </row>
    <row r="560" spans="1:7" x14ac:dyDescent="0.35">
      <c r="A560" s="1" t="s">
        <v>961</v>
      </c>
      <c r="B560" s="1"/>
      <c r="C560" s="1" t="s">
        <v>1299</v>
      </c>
      <c r="D560" s="1" t="str">
        <f t="shared" si="24"/>
        <v>St. Marys</v>
      </c>
      <c r="E560" s="1" t="str">
        <f>IFERROR(INDEX(Census_Metro_List!$A:$A,MATCH(D560&amp;"*",Census_Metro_List!$A:$A,0)),"No Match")</f>
        <v>No Match</v>
      </c>
      <c r="F560" s="1" t="str">
        <f t="shared" si="25"/>
        <v>GA</v>
      </c>
      <c r="G560" s="1" t="str">
        <f t="shared" si="26"/>
        <v>Review</v>
      </c>
    </row>
    <row r="561" spans="1:7" x14ac:dyDescent="0.35">
      <c r="A561" s="1" t="s">
        <v>962</v>
      </c>
      <c r="B561" s="1"/>
      <c r="C561" s="1" t="s">
        <v>1299</v>
      </c>
      <c r="D561" s="1" t="str">
        <f t="shared" si="24"/>
        <v>Boone</v>
      </c>
      <c r="E561" s="1" t="str">
        <f>IFERROR(INDEX(Census_Metro_List!$A:$A,MATCH(D561&amp;"*",Census_Metro_List!$A:$A,0)),"No Match")</f>
        <v>No Match</v>
      </c>
      <c r="F561" s="1" t="str">
        <f t="shared" si="25"/>
        <v>NC</v>
      </c>
      <c r="G561" s="1" t="str">
        <f t="shared" si="26"/>
        <v>Review</v>
      </c>
    </row>
    <row r="562" spans="1:7" x14ac:dyDescent="0.35">
      <c r="A562" s="1" t="s">
        <v>963</v>
      </c>
      <c r="B562" s="1"/>
      <c r="C562" s="1" t="s">
        <v>1299</v>
      </c>
      <c r="D562" s="1" t="str">
        <f t="shared" si="24"/>
        <v>Warrensburg</v>
      </c>
      <c r="E562" s="1" t="str">
        <f>IFERROR(INDEX(Census_Metro_List!$A:$A,MATCH(D562&amp;"*",Census_Metro_List!$A:$A,0)),"No Match")</f>
        <v>No Match</v>
      </c>
      <c r="F562" s="1" t="str">
        <f t="shared" si="25"/>
        <v>MO</v>
      </c>
      <c r="G562" s="1" t="str">
        <f t="shared" si="26"/>
        <v>Review</v>
      </c>
    </row>
    <row r="563" spans="1:7" x14ac:dyDescent="0.35">
      <c r="A563" s="1" t="s">
        <v>964</v>
      </c>
      <c r="B563" s="1"/>
      <c r="C563" s="1" t="s">
        <v>1299</v>
      </c>
      <c r="D563" s="1" t="str">
        <f t="shared" si="24"/>
        <v>Gloversville</v>
      </c>
      <c r="E563" s="1" t="str">
        <f>IFERROR(INDEX(Census_Metro_List!$A:$A,MATCH(D563&amp;"*",Census_Metro_List!$A:$A,0)),"No Match")</f>
        <v>No Match</v>
      </c>
      <c r="F563" s="1" t="str">
        <f t="shared" si="25"/>
        <v>NY</v>
      </c>
      <c r="G563" s="1" t="str">
        <f t="shared" si="26"/>
        <v>Review</v>
      </c>
    </row>
    <row r="564" spans="1:7" x14ac:dyDescent="0.35">
      <c r="A564" s="1" t="s">
        <v>965</v>
      </c>
      <c r="B564" s="1"/>
      <c r="C564" s="1" t="s">
        <v>1299</v>
      </c>
      <c r="D564" s="1" t="str">
        <f t="shared" si="24"/>
        <v>Fort Leonard Wood</v>
      </c>
      <c r="E564" s="1" t="str">
        <f>IFERROR(INDEX(Census_Metro_List!$A:$A,MATCH(D564&amp;"*",Census_Metro_List!$A:$A,0)),"No Match")</f>
        <v>No Match</v>
      </c>
      <c r="F564" s="1" t="str">
        <f t="shared" si="25"/>
        <v>MO</v>
      </c>
      <c r="G564" s="1" t="str">
        <f t="shared" si="26"/>
        <v>Review</v>
      </c>
    </row>
    <row r="565" spans="1:7" x14ac:dyDescent="0.35">
      <c r="A565" s="1" t="s">
        <v>966</v>
      </c>
      <c r="B565" s="1"/>
      <c r="C565" s="1" t="s">
        <v>1299</v>
      </c>
      <c r="D565" s="1" t="str">
        <f t="shared" si="24"/>
        <v>Poplar Bluff</v>
      </c>
      <c r="E565" s="1" t="str">
        <f>IFERROR(INDEX(Census_Metro_List!$A:$A,MATCH(D565&amp;"*",Census_Metro_List!$A:$A,0)),"No Match")</f>
        <v>No Match</v>
      </c>
      <c r="F565" s="1" t="str">
        <f t="shared" si="25"/>
        <v>MO</v>
      </c>
      <c r="G565" s="1" t="str">
        <f t="shared" si="26"/>
        <v>Review</v>
      </c>
    </row>
    <row r="566" spans="1:7" x14ac:dyDescent="0.35">
      <c r="A566" s="1" t="s">
        <v>967</v>
      </c>
      <c r="B566" s="1"/>
      <c r="C566" s="1" t="s">
        <v>1299</v>
      </c>
      <c r="D566" s="1" t="str">
        <f t="shared" si="24"/>
        <v>Elizabeth City</v>
      </c>
      <c r="E566" s="1" t="str">
        <f>IFERROR(INDEX(Census_Metro_List!$A:$A,MATCH(D566&amp;"*",Census_Metro_List!$A:$A,0)),"No Match")</f>
        <v>No Match</v>
      </c>
      <c r="F566" s="1" t="str">
        <f t="shared" si="25"/>
        <v>NC</v>
      </c>
      <c r="G566" s="1" t="str">
        <f t="shared" si="26"/>
        <v>Review</v>
      </c>
    </row>
    <row r="567" spans="1:7" x14ac:dyDescent="0.35">
      <c r="A567" s="1" t="s">
        <v>968</v>
      </c>
      <c r="B567" s="1"/>
      <c r="C567" s="1" t="s">
        <v>1299</v>
      </c>
      <c r="D567" s="1" t="str">
        <f t="shared" si="24"/>
        <v>Payson</v>
      </c>
      <c r="E567" s="1" t="str">
        <f>IFERROR(INDEX(Census_Metro_List!$A:$A,MATCH(D567&amp;"*",Census_Metro_List!$A:$A,0)),"No Match")</f>
        <v>No Match</v>
      </c>
      <c r="F567" s="1" t="str">
        <f t="shared" si="25"/>
        <v>AZ</v>
      </c>
      <c r="G567" s="1" t="str">
        <f t="shared" si="26"/>
        <v>Review</v>
      </c>
    </row>
    <row r="568" spans="1:7" x14ac:dyDescent="0.35">
      <c r="A568" s="1" t="s">
        <v>969</v>
      </c>
      <c r="B568" s="1"/>
      <c r="C568" s="1" t="s">
        <v>1299</v>
      </c>
      <c r="D568" s="1" t="str">
        <f t="shared" si="24"/>
        <v>Athens</v>
      </c>
      <c r="E568" s="1" t="str">
        <f>IFERROR(INDEX(Census_Metro_List!$A:$A,MATCH(D568&amp;"*",Census_Metro_List!$A:$A,0)),"No Match")</f>
        <v>Athens-Clarke County, GA Metro Area</v>
      </c>
      <c r="F568" s="1" t="str">
        <f t="shared" si="25"/>
        <v>TN</v>
      </c>
      <c r="G568" s="1" t="str">
        <f t="shared" si="26"/>
        <v>Review</v>
      </c>
    </row>
    <row r="569" spans="1:7" x14ac:dyDescent="0.35">
      <c r="A569" s="1" t="s">
        <v>970</v>
      </c>
      <c r="B569" s="1"/>
      <c r="C569" s="1" t="s">
        <v>1299</v>
      </c>
      <c r="D569" s="1" t="str">
        <f t="shared" si="24"/>
        <v>Enterprise</v>
      </c>
      <c r="E569" s="1" t="str">
        <f>IFERROR(INDEX(Census_Metro_List!$A:$A,MATCH(D569&amp;"*",Census_Metro_List!$A:$A,0)),"No Match")</f>
        <v>No Match</v>
      </c>
      <c r="F569" s="1" t="str">
        <f t="shared" si="25"/>
        <v>AL</v>
      </c>
      <c r="G569" s="1" t="str">
        <f t="shared" si="26"/>
        <v>Review</v>
      </c>
    </row>
    <row r="570" spans="1:7" x14ac:dyDescent="0.35">
      <c r="A570" s="1" t="s">
        <v>971</v>
      </c>
      <c r="B570" s="1"/>
      <c r="C570" s="1" t="s">
        <v>1299</v>
      </c>
      <c r="D570" s="1" t="str">
        <f t="shared" si="24"/>
        <v>Ashland</v>
      </c>
      <c r="E570" s="1" t="str">
        <f>IFERROR(INDEX(Census_Metro_List!$A:$A,MATCH(D570&amp;"*",Census_Metro_List!$A:$A,0)),"No Match")</f>
        <v>No Match</v>
      </c>
      <c r="F570" s="1" t="str">
        <f t="shared" si="25"/>
        <v>OH</v>
      </c>
      <c r="G570" s="1" t="str">
        <f t="shared" si="26"/>
        <v>Review</v>
      </c>
    </row>
    <row r="571" spans="1:7" x14ac:dyDescent="0.35">
      <c r="A571" s="1" t="s">
        <v>972</v>
      </c>
      <c r="B571" s="1"/>
      <c r="C571" s="1" t="s">
        <v>1299</v>
      </c>
      <c r="D571" s="1" t="str">
        <f t="shared" si="24"/>
        <v>Scottsboro</v>
      </c>
      <c r="E571" s="1" t="str">
        <f>IFERROR(INDEX(Census_Metro_List!$A:$A,MATCH(D571&amp;"*",Census_Metro_List!$A:$A,0)),"No Match")</f>
        <v>No Match</v>
      </c>
      <c r="F571" s="1" t="str">
        <f t="shared" si="25"/>
        <v>AL</v>
      </c>
      <c r="G571" s="1" t="str">
        <f t="shared" si="26"/>
        <v>Review</v>
      </c>
    </row>
    <row r="572" spans="1:7" x14ac:dyDescent="0.35">
      <c r="A572" s="1" t="s">
        <v>973</v>
      </c>
      <c r="B572" s="1"/>
      <c r="C572" s="1" t="s">
        <v>1299</v>
      </c>
      <c r="D572" s="1" t="str">
        <f t="shared" si="24"/>
        <v>Milledgeville</v>
      </c>
      <c r="E572" s="1" t="str">
        <f>IFERROR(INDEX(Census_Metro_List!$A:$A,MATCH(D572&amp;"*",Census_Metro_List!$A:$A,0)),"No Match")</f>
        <v>No Match</v>
      </c>
      <c r="F572" s="1" t="str">
        <f t="shared" si="25"/>
        <v>GA</v>
      </c>
      <c r="G572" s="1" t="str">
        <f t="shared" si="26"/>
        <v>Review</v>
      </c>
    </row>
    <row r="573" spans="1:7" x14ac:dyDescent="0.35">
      <c r="A573" s="1" t="s">
        <v>974</v>
      </c>
      <c r="B573" s="1"/>
      <c r="C573" s="1" t="s">
        <v>1299</v>
      </c>
      <c r="D573" s="1" t="str">
        <f t="shared" si="24"/>
        <v>Kerrville</v>
      </c>
      <c r="E573" s="1" t="str">
        <f>IFERROR(INDEX(Census_Metro_List!$A:$A,MATCH(D573&amp;"*",Census_Metro_List!$A:$A,0)),"No Match")</f>
        <v>No Match</v>
      </c>
      <c r="F573" s="1" t="str">
        <f t="shared" si="25"/>
        <v>TX</v>
      </c>
      <c r="G573" s="1" t="str">
        <f t="shared" si="26"/>
        <v>Review</v>
      </c>
    </row>
    <row r="574" spans="1:7" x14ac:dyDescent="0.35">
      <c r="A574" s="1" t="s">
        <v>975</v>
      </c>
      <c r="B574" s="1"/>
      <c r="C574" s="1" t="s">
        <v>1299</v>
      </c>
      <c r="D574" s="1" t="str">
        <f t="shared" si="24"/>
        <v>Bartlesville</v>
      </c>
      <c r="E574" s="1" t="str">
        <f>IFERROR(INDEX(Census_Metro_List!$A:$A,MATCH(D574&amp;"*",Census_Metro_List!$A:$A,0)),"No Match")</f>
        <v>No Match</v>
      </c>
      <c r="F574" s="1" t="str">
        <f t="shared" si="25"/>
        <v>OK</v>
      </c>
      <c r="G574" s="1" t="str">
        <f t="shared" si="26"/>
        <v>Review</v>
      </c>
    </row>
    <row r="575" spans="1:7" x14ac:dyDescent="0.35">
      <c r="A575" s="1" t="s">
        <v>976</v>
      </c>
      <c r="B575" s="1"/>
      <c r="C575" s="1" t="s">
        <v>1299</v>
      </c>
      <c r="D575" s="1" t="str">
        <f t="shared" si="24"/>
        <v>Platteville</v>
      </c>
      <c r="E575" s="1" t="str">
        <f>IFERROR(INDEX(Census_Metro_List!$A:$A,MATCH(D575&amp;"*",Census_Metro_List!$A:$A,0)),"No Match")</f>
        <v>No Match</v>
      </c>
      <c r="F575" s="1" t="str">
        <f t="shared" si="25"/>
        <v>WI</v>
      </c>
      <c r="G575" s="1" t="str">
        <f t="shared" si="26"/>
        <v>Review</v>
      </c>
    </row>
    <row r="576" spans="1:7" x14ac:dyDescent="0.35">
      <c r="A576" s="1" t="s">
        <v>977</v>
      </c>
      <c r="B576" s="1"/>
      <c r="C576" s="1" t="s">
        <v>1299</v>
      </c>
      <c r="D576" s="1" t="str">
        <f t="shared" si="24"/>
        <v>Corsicana</v>
      </c>
      <c r="E576" s="1" t="str">
        <f>IFERROR(INDEX(Census_Metro_List!$A:$A,MATCH(D576&amp;"*",Census_Metro_List!$A:$A,0)),"No Match")</f>
        <v>No Match</v>
      </c>
      <c r="F576" s="1" t="str">
        <f t="shared" si="25"/>
        <v>TX</v>
      </c>
      <c r="G576" s="1" t="str">
        <f t="shared" si="26"/>
        <v>Review</v>
      </c>
    </row>
    <row r="577" spans="1:7" x14ac:dyDescent="0.35">
      <c r="A577" s="1" t="s">
        <v>978</v>
      </c>
      <c r="B577" s="1"/>
      <c r="C577" s="1" t="s">
        <v>1299</v>
      </c>
      <c r="D577" s="1" t="str">
        <f t="shared" si="24"/>
        <v>Greenville</v>
      </c>
      <c r="E577" s="1" t="str">
        <f>IFERROR(INDEX(Census_Metro_List!$A:$A,MATCH(D577&amp;"*",Census_Metro_List!$A:$A,0)),"No Match")</f>
        <v>Greenville, NC Metro Area</v>
      </c>
      <c r="F577" s="1" t="str">
        <f t="shared" si="25"/>
        <v>OH</v>
      </c>
      <c r="G577" s="1" t="str">
        <f t="shared" si="26"/>
        <v>Review</v>
      </c>
    </row>
    <row r="578" spans="1:7" x14ac:dyDescent="0.35">
      <c r="A578" s="1" t="s">
        <v>979</v>
      </c>
      <c r="B578" s="1"/>
      <c r="C578" s="1" t="s">
        <v>1299</v>
      </c>
      <c r="D578" s="1" t="str">
        <f t="shared" ref="D578:D641" si="27">LEFT(A578,FIND(",",A578)-1)</f>
        <v>Rochelle</v>
      </c>
      <c r="E578" s="1" t="str">
        <f>IFERROR(INDEX(Census_Metro_List!$A:$A,MATCH(D578&amp;"*",Census_Metro_List!$A:$A,0)),"No Match")</f>
        <v>No Match</v>
      </c>
      <c r="F578" s="1" t="str">
        <f t="shared" ref="F578:F641" si="28">TRIM(RIGHT(A578,LEN(A578)-FIND(",",A578)))</f>
        <v>IL</v>
      </c>
      <c r="G578" s="1" t="str">
        <f t="shared" ref="G578:G641" si="29">IF(E578="No Match","Review",IF(ISNUMBER(SEARCH(F578,E578)),"Likely Match","Review"))</f>
        <v>Review</v>
      </c>
    </row>
    <row r="579" spans="1:7" x14ac:dyDescent="0.35">
      <c r="A579" s="1" t="s">
        <v>980</v>
      </c>
      <c r="B579" s="1"/>
      <c r="C579" s="1" t="s">
        <v>1299</v>
      </c>
      <c r="D579" s="1" t="str">
        <f t="shared" si="27"/>
        <v>Douglas</v>
      </c>
      <c r="E579" s="1" t="str">
        <f>IFERROR(INDEX(Census_Metro_List!$A:$A,MATCH(D579&amp;"*",Census_Metro_List!$A:$A,0)),"No Match")</f>
        <v>No Match</v>
      </c>
      <c r="F579" s="1" t="str">
        <f t="shared" si="28"/>
        <v>GA</v>
      </c>
      <c r="G579" s="1" t="str">
        <f t="shared" si="29"/>
        <v>Review</v>
      </c>
    </row>
    <row r="580" spans="1:7" x14ac:dyDescent="0.35">
      <c r="A580" s="1" t="s">
        <v>981</v>
      </c>
      <c r="B580" s="1"/>
      <c r="C580" s="1" t="s">
        <v>1299</v>
      </c>
      <c r="D580" s="1" t="str">
        <f t="shared" si="27"/>
        <v>Oil City</v>
      </c>
      <c r="E580" s="1" t="str">
        <f>IFERROR(INDEX(Census_Metro_List!$A:$A,MATCH(D580&amp;"*",Census_Metro_List!$A:$A,0)),"No Match")</f>
        <v>No Match</v>
      </c>
      <c r="F580" s="1" t="str">
        <f t="shared" si="28"/>
        <v>PA</v>
      </c>
      <c r="G580" s="1" t="str">
        <f t="shared" si="29"/>
        <v>Review</v>
      </c>
    </row>
    <row r="581" spans="1:7" x14ac:dyDescent="0.35">
      <c r="A581" s="1" t="s">
        <v>982</v>
      </c>
      <c r="B581" s="1"/>
      <c r="C581" s="1" t="s">
        <v>1299</v>
      </c>
      <c r="D581" s="1" t="str">
        <f t="shared" si="27"/>
        <v>Mason City</v>
      </c>
      <c r="E581" s="1" t="str">
        <f>IFERROR(INDEX(Census_Metro_List!$A:$A,MATCH(D581&amp;"*",Census_Metro_List!$A:$A,0)),"No Match")</f>
        <v>No Match</v>
      </c>
      <c r="F581" s="1" t="str">
        <f t="shared" si="28"/>
        <v>IA</v>
      </c>
      <c r="G581" s="1" t="str">
        <f t="shared" si="29"/>
        <v>Review</v>
      </c>
    </row>
    <row r="582" spans="1:7" x14ac:dyDescent="0.35">
      <c r="A582" s="1" t="s">
        <v>983</v>
      </c>
      <c r="B582" s="1"/>
      <c r="C582" s="1" t="s">
        <v>1299</v>
      </c>
      <c r="D582" s="1" t="str">
        <f t="shared" si="27"/>
        <v>Jacksonville</v>
      </c>
      <c r="E582" s="1" t="str">
        <f>IFERROR(INDEX(Census_Metro_List!$A:$A,MATCH(D582&amp;"*",Census_Metro_List!$A:$A,0)),"No Match")</f>
        <v>Jacksonville, FL Metro Area</v>
      </c>
      <c r="F582" s="1" t="str">
        <f t="shared" si="28"/>
        <v>TX</v>
      </c>
      <c r="G582" s="1" t="str">
        <f t="shared" si="29"/>
        <v>Review</v>
      </c>
    </row>
    <row r="583" spans="1:7" x14ac:dyDescent="0.35">
      <c r="A583" s="1" t="s">
        <v>984</v>
      </c>
      <c r="B583" s="1"/>
      <c r="C583" s="1" t="s">
        <v>1299</v>
      </c>
      <c r="D583" s="1" t="str">
        <f t="shared" si="27"/>
        <v>Galesburg</v>
      </c>
      <c r="E583" s="1" t="str">
        <f>IFERROR(INDEX(Census_Metro_List!$A:$A,MATCH(D583&amp;"*",Census_Metro_List!$A:$A,0)),"No Match")</f>
        <v>No Match</v>
      </c>
      <c r="F583" s="1" t="str">
        <f t="shared" si="28"/>
        <v>IL</v>
      </c>
      <c r="G583" s="1" t="str">
        <f t="shared" si="29"/>
        <v>Review</v>
      </c>
    </row>
    <row r="584" spans="1:7" x14ac:dyDescent="0.35">
      <c r="A584" s="1" t="s">
        <v>985</v>
      </c>
      <c r="B584" s="1"/>
      <c r="C584" s="1" t="s">
        <v>1299</v>
      </c>
      <c r="D584" s="1" t="str">
        <f t="shared" si="27"/>
        <v>Pahrump</v>
      </c>
      <c r="E584" s="1" t="str">
        <f>IFERROR(INDEX(Census_Metro_List!$A:$A,MATCH(D584&amp;"*",Census_Metro_List!$A:$A,0)),"No Match")</f>
        <v>No Match</v>
      </c>
      <c r="F584" s="1" t="str">
        <f t="shared" si="28"/>
        <v>NV</v>
      </c>
      <c r="G584" s="1" t="str">
        <f t="shared" si="29"/>
        <v>Review</v>
      </c>
    </row>
    <row r="585" spans="1:7" x14ac:dyDescent="0.35">
      <c r="A585" s="1" t="s">
        <v>986</v>
      </c>
      <c r="B585" s="1"/>
      <c r="C585" s="1" t="s">
        <v>1299</v>
      </c>
      <c r="D585" s="1" t="str">
        <f t="shared" si="27"/>
        <v>Paris</v>
      </c>
      <c r="E585" s="1" t="str">
        <f>IFERROR(INDEX(Census_Metro_List!$A:$A,MATCH(D585&amp;"*",Census_Metro_List!$A:$A,0)),"No Match")</f>
        <v>No Match</v>
      </c>
      <c r="F585" s="1" t="str">
        <f t="shared" si="28"/>
        <v>TX</v>
      </c>
      <c r="G585" s="1" t="str">
        <f t="shared" si="29"/>
        <v>Review</v>
      </c>
    </row>
    <row r="586" spans="1:7" x14ac:dyDescent="0.35">
      <c r="A586" s="1" t="s">
        <v>987</v>
      </c>
      <c r="B586" s="1"/>
      <c r="C586" s="1" t="s">
        <v>1299</v>
      </c>
      <c r="D586" s="1" t="str">
        <f t="shared" si="27"/>
        <v>Winona</v>
      </c>
      <c r="E586" s="1" t="str">
        <f>IFERROR(INDEX(Census_Metro_List!$A:$A,MATCH(D586&amp;"*",Census_Metro_List!$A:$A,0)),"No Match")</f>
        <v>No Match</v>
      </c>
      <c r="F586" s="1" t="str">
        <f t="shared" si="28"/>
        <v>MN</v>
      </c>
      <c r="G586" s="1" t="str">
        <f t="shared" si="29"/>
        <v>Review</v>
      </c>
    </row>
    <row r="587" spans="1:7" x14ac:dyDescent="0.35">
      <c r="A587" s="1" t="s">
        <v>988</v>
      </c>
      <c r="B587" s="1"/>
      <c r="C587" s="1" t="s">
        <v>1299</v>
      </c>
      <c r="D587" s="1" t="str">
        <f t="shared" si="27"/>
        <v>Newport</v>
      </c>
      <c r="E587" s="1" t="str">
        <f>IFERROR(INDEX(Census_Metro_List!$A:$A,MATCH(D587&amp;"*",Census_Metro_List!$A:$A,0)),"No Match")</f>
        <v>No Match</v>
      </c>
      <c r="F587" s="1" t="str">
        <f t="shared" si="28"/>
        <v>OR</v>
      </c>
      <c r="G587" s="1" t="str">
        <f t="shared" si="29"/>
        <v>Review</v>
      </c>
    </row>
    <row r="588" spans="1:7" x14ac:dyDescent="0.35">
      <c r="A588" s="1" t="s">
        <v>989</v>
      </c>
      <c r="B588" s="1"/>
      <c r="C588" s="1" t="s">
        <v>1299</v>
      </c>
      <c r="D588" s="1" t="str">
        <f t="shared" si="27"/>
        <v>Morgan City</v>
      </c>
      <c r="E588" s="1" t="str">
        <f>IFERROR(INDEX(Census_Metro_List!$A:$A,MATCH(D588&amp;"*",Census_Metro_List!$A:$A,0)),"No Match")</f>
        <v>No Match</v>
      </c>
      <c r="F588" s="1" t="str">
        <f t="shared" si="28"/>
        <v>LA</v>
      </c>
      <c r="G588" s="1" t="str">
        <f t="shared" si="29"/>
        <v>Review</v>
      </c>
    </row>
    <row r="589" spans="1:7" x14ac:dyDescent="0.35">
      <c r="A589" s="1" t="s">
        <v>990</v>
      </c>
      <c r="B589" s="1"/>
      <c r="C589" s="1" t="s">
        <v>1299</v>
      </c>
      <c r="D589" s="1" t="str">
        <f t="shared" si="27"/>
        <v>Shelbyville</v>
      </c>
      <c r="E589" s="1" t="str">
        <f>IFERROR(INDEX(Census_Metro_List!$A:$A,MATCH(D589&amp;"*",Census_Metro_List!$A:$A,0)),"No Match")</f>
        <v>No Match</v>
      </c>
      <c r="F589" s="1" t="str">
        <f t="shared" si="28"/>
        <v>TN</v>
      </c>
      <c r="G589" s="1" t="str">
        <f t="shared" si="29"/>
        <v>Review</v>
      </c>
    </row>
    <row r="590" spans="1:7" x14ac:dyDescent="0.35">
      <c r="A590" s="1" t="s">
        <v>991</v>
      </c>
      <c r="B590" s="1"/>
      <c r="C590" s="1" t="s">
        <v>1299</v>
      </c>
      <c r="D590" s="1" t="str">
        <f t="shared" si="27"/>
        <v>Amsterdam</v>
      </c>
      <c r="E590" s="1" t="str">
        <f>IFERROR(INDEX(Census_Metro_List!$A:$A,MATCH(D590&amp;"*",Census_Metro_List!$A:$A,0)),"No Match")</f>
        <v>No Match</v>
      </c>
      <c r="F590" s="1" t="str">
        <f t="shared" si="28"/>
        <v>NY</v>
      </c>
      <c r="G590" s="1" t="str">
        <f t="shared" si="29"/>
        <v>Review</v>
      </c>
    </row>
    <row r="591" spans="1:7" x14ac:dyDescent="0.35">
      <c r="A591" s="1" t="s">
        <v>992</v>
      </c>
      <c r="B591" s="1"/>
      <c r="C591" s="1" t="s">
        <v>1299</v>
      </c>
      <c r="D591" s="1" t="str">
        <f t="shared" si="27"/>
        <v>Ozark</v>
      </c>
      <c r="E591" s="1" t="str">
        <f>IFERROR(INDEX(Census_Metro_List!$A:$A,MATCH(D591&amp;"*",Census_Metro_List!$A:$A,0)),"No Match")</f>
        <v>No Match</v>
      </c>
      <c r="F591" s="1" t="str">
        <f t="shared" si="28"/>
        <v>AL</v>
      </c>
      <c r="G591" s="1" t="str">
        <f t="shared" si="29"/>
        <v>Review</v>
      </c>
    </row>
    <row r="592" spans="1:7" x14ac:dyDescent="0.35">
      <c r="A592" s="1" t="s">
        <v>993</v>
      </c>
      <c r="B592" s="1"/>
      <c r="C592" s="1" t="s">
        <v>1299</v>
      </c>
      <c r="D592" s="1" t="str">
        <f t="shared" si="27"/>
        <v>Alice</v>
      </c>
      <c r="E592" s="1" t="str">
        <f>IFERROR(INDEX(Census_Metro_List!$A:$A,MATCH(D592&amp;"*",Census_Metro_List!$A:$A,0)),"No Match")</f>
        <v>No Match</v>
      </c>
      <c r="F592" s="1" t="str">
        <f t="shared" si="28"/>
        <v>TX</v>
      </c>
      <c r="G592" s="1" t="str">
        <f t="shared" si="29"/>
        <v>Review</v>
      </c>
    </row>
    <row r="593" spans="1:7" x14ac:dyDescent="0.35">
      <c r="A593" s="1" t="s">
        <v>994</v>
      </c>
      <c r="B593" s="1"/>
      <c r="C593" s="1" t="s">
        <v>1299</v>
      </c>
      <c r="D593" s="1" t="str">
        <f t="shared" si="27"/>
        <v>Gardnerville Ranchos</v>
      </c>
      <c r="E593" s="1" t="str">
        <f>IFERROR(INDEX(Census_Metro_List!$A:$A,MATCH(D593&amp;"*",Census_Metro_List!$A:$A,0)),"No Match")</f>
        <v>No Match</v>
      </c>
      <c r="F593" s="1" t="str">
        <f t="shared" si="28"/>
        <v>NV</v>
      </c>
      <c r="G593" s="1" t="str">
        <f t="shared" si="29"/>
        <v>Review</v>
      </c>
    </row>
    <row r="594" spans="1:7" x14ac:dyDescent="0.35">
      <c r="A594" s="1" t="s">
        <v>995</v>
      </c>
      <c r="B594" s="1"/>
      <c r="C594" s="1" t="s">
        <v>1299</v>
      </c>
      <c r="D594" s="1" t="str">
        <f t="shared" si="27"/>
        <v>Fort Polk South</v>
      </c>
      <c r="E594" s="1" t="str">
        <f>IFERROR(INDEX(Census_Metro_List!$A:$A,MATCH(D594&amp;"*",Census_Metro_List!$A:$A,0)),"No Match")</f>
        <v>No Match</v>
      </c>
      <c r="F594" s="1" t="str">
        <f t="shared" si="28"/>
        <v>LA</v>
      </c>
      <c r="G594" s="1" t="str">
        <f t="shared" si="29"/>
        <v>Review</v>
      </c>
    </row>
    <row r="595" spans="1:7" x14ac:dyDescent="0.35">
      <c r="A595" s="1" t="s">
        <v>996</v>
      </c>
      <c r="B595" s="1"/>
      <c r="C595" s="1" t="s">
        <v>1299</v>
      </c>
      <c r="D595" s="1" t="str">
        <f t="shared" si="27"/>
        <v>CaÂ±on City</v>
      </c>
      <c r="E595" s="1" t="str">
        <f>IFERROR(INDEX(Census_Metro_List!$A:$A,MATCH(D595&amp;"*",Census_Metro_List!$A:$A,0)),"No Match")</f>
        <v>No Match</v>
      </c>
      <c r="F595" s="1" t="str">
        <f t="shared" si="28"/>
        <v>CO</v>
      </c>
      <c r="G595" s="1" t="str">
        <f t="shared" si="29"/>
        <v>Review</v>
      </c>
    </row>
    <row r="596" spans="1:7" x14ac:dyDescent="0.35">
      <c r="A596" s="1" t="s">
        <v>997</v>
      </c>
      <c r="B596" s="1"/>
      <c r="C596" s="1" t="s">
        <v>1299</v>
      </c>
      <c r="D596" s="1" t="str">
        <f t="shared" si="27"/>
        <v>Natchez</v>
      </c>
      <c r="E596" s="1" t="str">
        <f>IFERROR(INDEX(Census_Metro_List!$A:$A,MATCH(D596&amp;"*",Census_Metro_List!$A:$A,0)),"No Match")</f>
        <v>No Match</v>
      </c>
      <c r="F596" s="1" t="str">
        <f t="shared" si="28"/>
        <v>MS</v>
      </c>
      <c r="G596" s="1" t="str">
        <f t="shared" si="29"/>
        <v>Review</v>
      </c>
    </row>
    <row r="597" spans="1:7" x14ac:dyDescent="0.35">
      <c r="A597" s="1" t="s">
        <v>998</v>
      </c>
      <c r="B597" s="1"/>
      <c r="C597" s="1" t="s">
        <v>1299</v>
      </c>
      <c r="D597" s="1" t="str">
        <f t="shared" si="27"/>
        <v>New Castle</v>
      </c>
      <c r="E597" s="1" t="str">
        <f>IFERROR(INDEX(Census_Metro_List!$A:$A,MATCH(D597&amp;"*",Census_Metro_List!$A:$A,0)),"No Match")</f>
        <v>No Match</v>
      </c>
      <c r="F597" s="1" t="str">
        <f t="shared" si="28"/>
        <v>IN</v>
      </c>
      <c r="G597" s="1" t="str">
        <f t="shared" si="29"/>
        <v>Review</v>
      </c>
    </row>
    <row r="598" spans="1:7" x14ac:dyDescent="0.35">
      <c r="A598" s="1" t="s">
        <v>999</v>
      </c>
      <c r="B598" s="1"/>
      <c r="C598" s="1" t="s">
        <v>1299</v>
      </c>
      <c r="D598" s="1" t="str">
        <f t="shared" si="27"/>
        <v>Clovis</v>
      </c>
      <c r="E598" s="1" t="str">
        <f>IFERROR(INDEX(Census_Metro_List!$A:$A,MATCH(D598&amp;"*",Census_Metro_List!$A:$A,0)),"No Match")</f>
        <v>No Match</v>
      </c>
      <c r="F598" s="1" t="str">
        <f t="shared" si="28"/>
        <v>NM</v>
      </c>
      <c r="G598" s="1" t="str">
        <f t="shared" si="29"/>
        <v>Review</v>
      </c>
    </row>
    <row r="599" spans="1:7" x14ac:dyDescent="0.35">
      <c r="A599" s="1" t="s">
        <v>1000</v>
      </c>
      <c r="B599" s="1"/>
      <c r="C599" s="1" t="s">
        <v>1299</v>
      </c>
      <c r="D599" s="1" t="str">
        <f t="shared" si="27"/>
        <v>Norfolk</v>
      </c>
      <c r="E599" s="1" t="str">
        <f>IFERROR(INDEX(Census_Metro_List!$A:$A,MATCH(D599&amp;"*",Census_Metro_List!$A:$A,0)),"No Match")</f>
        <v>No Match</v>
      </c>
      <c r="F599" s="1" t="str">
        <f t="shared" si="28"/>
        <v>NE</v>
      </c>
      <c r="G599" s="1" t="str">
        <f t="shared" si="29"/>
        <v>Review</v>
      </c>
    </row>
    <row r="600" spans="1:7" x14ac:dyDescent="0.35">
      <c r="A600" s="1" t="s">
        <v>1001</v>
      </c>
      <c r="B600" s="1"/>
      <c r="C600" s="1" t="s">
        <v>1299</v>
      </c>
      <c r="D600" s="1" t="str">
        <f t="shared" si="27"/>
        <v>Cadillac</v>
      </c>
      <c r="E600" s="1" t="str">
        <f>IFERROR(INDEX(Census_Metro_List!$A:$A,MATCH(D600&amp;"*",Census_Metro_List!$A:$A,0)),"No Match")</f>
        <v>No Match</v>
      </c>
      <c r="F600" s="1" t="str">
        <f t="shared" si="28"/>
        <v>MI</v>
      </c>
      <c r="G600" s="1" t="str">
        <f t="shared" si="29"/>
        <v>Review</v>
      </c>
    </row>
    <row r="601" spans="1:7" x14ac:dyDescent="0.35">
      <c r="A601" s="1" t="s">
        <v>1002</v>
      </c>
      <c r="B601" s="1"/>
      <c r="C601" s="1" t="s">
        <v>1299</v>
      </c>
      <c r="D601" s="1" t="str">
        <f t="shared" si="27"/>
        <v>Ruston</v>
      </c>
      <c r="E601" s="1" t="str">
        <f>IFERROR(INDEX(Census_Metro_List!$A:$A,MATCH(D601&amp;"*",Census_Metro_List!$A:$A,0)),"No Match")</f>
        <v>No Match</v>
      </c>
      <c r="F601" s="1" t="str">
        <f t="shared" si="28"/>
        <v>LA</v>
      </c>
      <c r="G601" s="1" t="str">
        <f t="shared" si="29"/>
        <v>Review</v>
      </c>
    </row>
    <row r="602" spans="1:7" x14ac:dyDescent="0.35">
      <c r="A602" s="1" t="s">
        <v>1003</v>
      </c>
      <c r="B602" s="1"/>
      <c r="C602" s="1" t="s">
        <v>1299</v>
      </c>
      <c r="D602" s="1" t="str">
        <f t="shared" si="27"/>
        <v>Sidney</v>
      </c>
      <c r="E602" s="1" t="str">
        <f>IFERROR(INDEX(Census_Metro_List!$A:$A,MATCH(D602&amp;"*",Census_Metro_List!$A:$A,0)),"No Match")</f>
        <v>No Match</v>
      </c>
      <c r="F602" s="1" t="str">
        <f t="shared" si="28"/>
        <v>OH</v>
      </c>
      <c r="G602" s="1" t="str">
        <f t="shared" si="29"/>
        <v>Review</v>
      </c>
    </row>
    <row r="603" spans="1:7" x14ac:dyDescent="0.35">
      <c r="A603" s="1" t="s">
        <v>1004</v>
      </c>
      <c r="B603" s="1"/>
      <c r="C603" s="1" t="s">
        <v>1299</v>
      </c>
      <c r="D603" s="1" t="str">
        <f t="shared" si="27"/>
        <v>Pullman</v>
      </c>
      <c r="E603" s="1" t="str">
        <f>IFERROR(INDEX(Census_Metro_List!$A:$A,MATCH(D603&amp;"*",Census_Metro_List!$A:$A,0)),"No Match")</f>
        <v>No Match</v>
      </c>
      <c r="F603" s="1" t="str">
        <f t="shared" si="28"/>
        <v>WA</v>
      </c>
      <c r="G603" s="1" t="str">
        <f t="shared" si="29"/>
        <v>Review</v>
      </c>
    </row>
    <row r="604" spans="1:7" x14ac:dyDescent="0.35">
      <c r="A604" s="1" t="s">
        <v>1005</v>
      </c>
      <c r="B604" s="1"/>
      <c r="C604" s="1" t="s">
        <v>1299</v>
      </c>
      <c r="D604" s="1" t="str">
        <f t="shared" si="27"/>
        <v>Malone</v>
      </c>
      <c r="E604" s="1" t="str">
        <f>IFERROR(INDEX(Census_Metro_List!$A:$A,MATCH(D604&amp;"*",Census_Metro_List!$A:$A,0)),"No Match")</f>
        <v>No Match</v>
      </c>
      <c r="F604" s="1" t="str">
        <f t="shared" si="28"/>
        <v>NY</v>
      </c>
      <c r="G604" s="1" t="str">
        <f t="shared" si="29"/>
        <v>Review</v>
      </c>
    </row>
    <row r="605" spans="1:7" x14ac:dyDescent="0.35">
      <c r="A605" s="1" t="s">
        <v>1006</v>
      </c>
      <c r="B605" s="1"/>
      <c r="C605" s="1" t="s">
        <v>1299</v>
      </c>
      <c r="D605" s="1" t="str">
        <f t="shared" si="27"/>
        <v>Del Rio</v>
      </c>
      <c r="E605" s="1" t="str">
        <f>IFERROR(INDEX(Census_Metro_List!$A:$A,MATCH(D605&amp;"*",Census_Metro_List!$A:$A,0)),"No Match")</f>
        <v>No Match</v>
      </c>
      <c r="F605" s="1" t="str">
        <f t="shared" si="28"/>
        <v>TX</v>
      </c>
      <c r="G605" s="1" t="str">
        <f t="shared" si="29"/>
        <v>Review</v>
      </c>
    </row>
    <row r="606" spans="1:7" x14ac:dyDescent="0.35">
      <c r="A606" s="1" t="s">
        <v>1007</v>
      </c>
      <c r="B606" s="1"/>
      <c r="C606" s="1" t="s">
        <v>1299</v>
      </c>
      <c r="D606" s="1" t="str">
        <f t="shared" si="27"/>
        <v>Blackfoot</v>
      </c>
      <c r="E606" s="1" t="str">
        <f>IFERROR(INDEX(Census_Metro_List!$A:$A,MATCH(D606&amp;"*",Census_Metro_List!$A:$A,0)),"No Match")</f>
        <v>No Match</v>
      </c>
      <c r="F606" s="1" t="str">
        <f t="shared" si="28"/>
        <v>ID</v>
      </c>
      <c r="G606" s="1" t="str">
        <f t="shared" si="29"/>
        <v>Review</v>
      </c>
    </row>
    <row r="607" spans="1:7" x14ac:dyDescent="0.35">
      <c r="A607" s="1" t="s">
        <v>1008</v>
      </c>
      <c r="B607" s="1"/>
      <c r="C607" s="1" t="s">
        <v>1299</v>
      </c>
      <c r="D607" s="1" t="str">
        <f t="shared" si="27"/>
        <v>Red Wing</v>
      </c>
      <c r="E607" s="1" t="str">
        <f>IFERROR(INDEX(Census_Metro_List!$A:$A,MATCH(D607&amp;"*",Census_Metro_List!$A:$A,0)),"No Match")</f>
        <v>No Match</v>
      </c>
      <c r="F607" s="1" t="str">
        <f t="shared" si="28"/>
        <v>MN</v>
      </c>
      <c r="G607" s="1" t="str">
        <f t="shared" si="29"/>
        <v>Review</v>
      </c>
    </row>
    <row r="608" spans="1:7" x14ac:dyDescent="0.35">
      <c r="A608" s="1" t="s">
        <v>1009</v>
      </c>
      <c r="B608" s="1"/>
      <c r="C608" s="1" t="s">
        <v>1299</v>
      </c>
      <c r="D608" s="1" t="str">
        <f t="shared" si="27"/>
        <v>Nogales</v>
      </c>
      <c r="E608" s="1" t="str">
        <f>IFERROR(INDEX(Census_Metro_List!$A:$A,MATCH(D608&amp;"*",Census_Metro_List!$A:$A,0)),"No Match")</f>
        <v>No Match</v>
      </c>
      <c r="F608" s="1" t="str">
        <f t="shared" si="28"/>
        <v>AZ</v>
      </c>
      <c r="G608" s="1" t="str">
        <f t="shared" si="29"/>
        <v>Review</v>
      </c>
    </row>
    <row r="609" spans="1:7" x14ac:dyDescent="0.35">
      <c r="A609" s="1" t="s">
        <v>1010</v>
      </c>
      <c r="B609" s="1"/>
      <c r="C609" s="1" t="s">
        <v>1299</v>
      </c>
      <c r="D609" s="1" t="str">
        <f t="shared" si="27"/>
        <v>Tahlequah</v>
      </c>
      <c r="E609" s="1" t="str">
        <f>IFERROR(INDEX(Census_Metro_List!$A:$A,MATCH(D609&amp;"*",Census_Metro_List!$A:$A,0)),"No Match")</f>
        <v>No Match</v>
      </c>
      <c r="F609" s="1" t="str">
        <f t="shared" si="28"/>
        <v>OK</v>
      </c>
      <c r="G609" s="1" t="str">
        <f t="shared" si="29"/>
        <v>Review</v>
      </c>
    </row>
    <row r="610" spans="1:7" x14ac:dyDescent="0.35">
      <c r="A610" s="1" t="s">
        <v>1011</v>
      </c>
      <c r="B610" s="1"/>
      <c r="C610" s="1" t="s">
        <v>1299</v>
      </c>
      <c r="D610" s="1" t="str">
        <f t="shared" si="27"/>
        <v>Kendallville</v>
      </c>
      <c r="E610" s="1" t="str">
        <f>IFERROR(INDEX(Census_Metro_List!$A:$A,MATCH(D610&amp;"*",Census_Metro_List!$A:$A,0)),"No Match")</f>
        <v>No Match</v>
      </c>
      <c r="F610" s="1" t="str">
        <f t="shared" si="28"/>
        <v>IN</v>
      </c>
      <c r="G610" s="1" t="str">
        <f t="shared" si="29"/>
        <v>Review</v>
      </c>
    </row>
    <row r="611" spans="1:7" x14ac:dyDescent="0.35">
      <c r="A611" s="1" t="s">
        <v>1012</v>
      </c>
      <c r="B611" s="1"/>
      <c r="C611" s="1" t="s">
        <v>1299</v>
      </c>
      <c r="D611" s="1" t="str">
        <f t="shared" si="27"/>
        <v>Montrose</v>
      </c>
      <c r="E611" s="1" t="str">
        <f>IFERROR(INDEX(Census_Metro_List!$A:$A,MATCH(D611&amp;"*",Census_Metro_List!$A:$A,0)),"No Match")</f>
        <v>No Match</v>
      </c>
      <c r="F611" s="1" t="str">
        <f t="shared" si="28"/>
        <v>CO</v>
      </c>
      <c r="G611" s="1" t="str">
        <f t="shared" si="29"/>
        <v>Review</v>
      </c>
    </row>
    <row r="612" spans="1:7" x14ac:dyDescent="0.35">
      <c r="A612" s="1" t="s">
        <v>1013</v>
      </c>
      <c r="B612" s="1"/>
      <c r="C612" s="1" t="s">
        <v>1299</v>
      </c>
      <c r="D612" s="1" t="str">
        <f t="shared" si="27"/>
        <v>Cortland</v>
      </c>
      <c r="E612" s="1" t="str">
        <f>IFERROR(INDEX(Census_Metro_List!$A:$A,MATCH(D612&amp;"*",Census_Metro_List!$A:$A,0)),"No Match")</f>
        <v>No Match</v>
      </c>
      <c r="F612" s="1" t="str">
        <f t="shared" si="28"/>
        <v>NY</v>
      </c>
      <c r="G612" s="1" t="str">
        <f t="shared" si="29"/>
        <v>Review</v>
      </c>
    </row>
    <row r="613" spans="1:7" x14ac:dyDescent="0.35">
      <c r="A613" s="1" t="s">
        <v>1014</v>
      </c>
      <c r="B613" s="1"/>
      <c r="C613" s="1" t="s">
        <v>1299</v>
      </c>
      <c r="D613" s="1" t="str">
        <f t="shared" si="27"/>
        <v>Mount Sterling</v>
      </c>
      <c r="E613" s="1" t="str">
        <f>IFERROR(INDEX(Census_Metro_List!$A:$A,MATCH(D613&amp;"*",Census_Metro_List!$A:$A,0)),"No Match")</f>
        <v>No Match</v>
      </c>
      <c r="F613" s="1" t="str">
        <f t="shared" si="28"/>
        <v>KY</v>
      </c>
      <c r="G613" s="1" t="str">
        <f t="shared" si="29"/>
        <v>Review</v>
      </c>
    </row>
    <row r="614" spans="1:7" x14ac:dyDescent="0.35">
      <c r="A614" s="1" t="s">
        <v>1015</v>
      </c>
      <c r="B614" s="1"/>
      <c r="C614" s="1" t="s">
        <v>1299</v>
      </c>
      <c r="D614" s="1" t="str">
        <f t="shared" si="27"/>
        <v>Clinton</v>
      </c>
      <c r="E614" s="1" t="str">
        <f>IFERROR(INDEX(Census_Metro_List!$A:$A,MATCH(D614&amp;"*",Census_Metro_List!$A:$A,0)),"No Match")</f>
        <v>No Match</v>
      </c>
      <c r="F614" s="1" t="str">
        <f t="shared" si="28"/>
        <v>IA</v>
      </c>
      <c r="G614" s="1" t="str">
        <f t="shared" si="29"/>
        <v>Review</v>
      </c>
    </row>
    <row r="615" spans="1:7" x14ac:dyDescent="0.35">
      <c r="A615" s="1" t="s">
        <v>1016</v>
      </c>
      <c r="B615" s="1"/>
      <c r="C615" s="1" t="s">
        <v>1299</v>
      </c>
      <c r="D615" s="1" t="str">
        <f t="shared" si="27"/>
        <v>Sandpoint</v>
      </c>
      <c r="E615" s="1" t="str">
        <f>IFERROR(INDEX(Census_Metro_List!$A:$A,MATCH(D615&amp;"*",Census_Metro_List!$A:$A,0)),"No Match")</f>
        <v>No Match</v>
      </c>
      <c r="F615" s="1" t="str">
        <f t="shared" si="28"/>
        <v>ID</v>
      </c>
      <c r="G615" s="1" t="str">
        <f t="shared" si="29"/>
        <v>Review</v>
      </c>
    </row>
    <row r="616" spans="1:7" x14ac:dyDescent="0.35">
      <c r="A616" s="1" t="s">
        <v>1017</v>
      </c>
      <c r="B616" s="1"/>
      <c r="C616" s="1" t="s">
        <v>1299</v>
      </c>
      <c r="D616" s="1" t="str">
        <f t="shared" si="27"/>
        <v>Bardstown</v>
      </c>
      <c r="E616" s="1" t="str">
        <f>IFERROR(INDEX(Census_Metro_List!$A:$A,MATCH(D616&amp;"*",Census_Metro_List!$A:$A,0)),"No Match")</f>
        <v>No Match</v>
      </c>
      <c r="F616" s="1" t="str">
        <f t="shared" si="28"/>
        <v>KY</v>
      </c>
      <c r="G616" s="1" t="str">
        <f t="shared" si="29"/>
        <v>Review</v>
      </c>
    </row>
    <row r="617" spans="1:7" x14ac:dyDescent="0.35">
      <c r="A617" s="1" t="s">
        <v>1018</v>
      </c>
      <c r="B617" s="1"/>
      <c r="C617" s="1" t="s">
        <v>1299</v>
      </c>
      <c r="D617" s="1" t="str">
        <f t="shared" si="27"/>
        <v>Wapakoneta</v>
      </c>
      <c r="E617" s="1" t="str">
        <f>IFERROR(INDEX(Census_Metro_List!$A:$A,MATCH(D617&amp;"*",Census_Metro_List!$A:$A,0)),"No Match")</f>
        <v>No Match</v>
      </c>
      <c r="F617" s="1" t="str">
        <f t="shared" si="28"/>
        <v>OH</v>
      </c>
      <c r="G617" s="1" t="str">
        <f t="shared" si="29"/>
        <v>Review</v>
      </c>
    </row>
    <row r="618" spans="1:7" x14ac:dyDescent="0.35">
      <c r="A618" s="1" t="s">
        <v>1019</v>
      </c>
      <c r="B618" s="1"/>
      <c r="C618" s="1" t="s">
        <v>1299</v>
      </c>
      <c r="D618" s="1" t="str">
        <f t="shared" si="27"/>
        <v>Plymouth</v>
      </c>
      <c r="E618" s="1" t="str">
        <f>IFERROR(INDEX(Census_Metro_List!$A:$A,MATCH(D618&amp;"*",Census_Metro_List!$A:$A,0)),"No Match")</f>
        <v>No Match</v>
      </c>
      <c r="F618" s="1" t="str">
        <f t="shared" si="28"/>
        <v>IN</v>
      </c>
      <c r="G618" s="1" t="str">
        <f t="shared" si="29"/>
        <v>Review</v>
      </c>
    </row>
    <row r="619" spans="1:7" x14ac:dyDescent="0.35">
      <c r="A619" s="1" t="s">
        <v>1020</v>
      </c>
      <c r="B619" s="1"/>
      <c r="C619" s="1" t="s">
        <v>1299</v>
      </c>
      <c r="D619" s="1" t="str">
        <f t="shared" si="27"/>
        <v>Lewistown</v>
      </c>
      <c r="E619" s="1" t="str">
        <f>IFERROR(INDEX(Census_Metro_List!$A:$A,MATCH(D619&amp;"*",Census_Metro_List!$A:$A,0)),"No Match")</f>
        <v>No Match</v>
      </c>
      <c r="F619" s="1" t="str">
        <f t="shared" si="28"/>
        <v>PA</v>
      </c>
      <c r="G619" s="1" t="str">
        <f t="shared" si="29"/>
        <v>Review</v>
      </c>
    </row>
    <row r="620" spans="1:7" x14ac:dyDescent="0.35">
      <c r="A620" s="1" t="s">
        <v>1021</v>
      </c>
      <c r="B620" s="1"/>
      <c r="C620" s="1" t="s">
        <v>1299</v>
      </c>
      <c r="D620" s="1" t="str">
        <f t="shared" si="27"/>
        <v>Bemidji</v>
      </c>
      <c r="E620" s="1" t="str">
        <f>IFERROR(INDEX(Census_Metro_List!$A:$A,MATCH(D620&amp;"*",Census_Metro_List!$A:$A,0)),"No Match")</f>
        <v>No Match</v>
      </c>
      <c r="F620" s="1" t="str">
        <f t="shared" si="28"/>
        <v>MN</v>
      </c>
      <c r="G620" s="1" t="str">
        <f t="shared" si="29"/>
        <v>Review</v>
      </c>
    </row>
    <row r="621" spans="1:7" x14ac:dyDescent="0.35">
      <c r="A621" s="1" t="s">
        <v>1022</v>
      </c>
      <c r="B621" s="1"/>
      <c r="C621" s="1" t="s">
        <v>1299</v>
      </c>
      <c r="D621" s="1" t="str">
        <f t="shared" si="27"/>
        <v>Bellefontaine</v>
      </c>
      <c r="E621" s="1" t="str">
        <f>IFERROR(INDEX(Census_Metro_List!$A:$A,MATCH(D621&amp;"*",Census_Metro_List!$A:$A,0)),"No Match")</f>
        <v>No Match</v>
      </c>
      <c r="F621" s="1" t="str">
        <f t="shared" si="28"/>
        <v>OH</v>
      </c>
      <c r="G621" s="1" t="str">
        <f t="shared" si="29"/>
        <v>Review</v>
      </c>
    </row>
    <row r="622" spans="1:7" x14ac:dyDescent="0.35">
      <c r="A622" s="1" t="s">
        <v>1023</v>
      </c>
      <c r="B622" s="1"/>
      <c r="C622" s="1" t="s">
        <v>1299</v>
      </c>
      <c r="D622" s="1" t="str">
        <f t="shared" si="27"/>
        <v>Seymour</v>
      </c>
      <c r="E622" s="1" t="str">
        <f>IFERROR(INDEX(Census_Metro_List!$A:$A,MATCH(D622&amp;"*",Census_Metro_List!$A:$A,0)),"No Match")</f>
        <v>No Match</v>
      </c>
      <c r="F622" s="1" t="str">
        <f t="shared" si="28"/>
        <v>IN</v>
      </c>
      <c r="G622" s="1" t="str">
        <f t="shared" si="29"/>
        <v>Review</v>
      </c>
    </row>
    <row r="623" spans="1:7" x14ac:dyDescent="0.35">
      <c r="A623" s="1" t="s">
        <v>1024</v>
      </c>
      <c r="B623" s="1"/>
      <c r="C623" s="1" t="s">
        <v>1299</v>
      </c>
      <c r="D623" s="1" t="str">
        <f t="shared" si="27"/>
        <v>Burley</v>
      </c>
      <c r="E623" s="1" t="str">
        <f>IFERROR(INDEX(Census_Metro_List!$A:$A,MATCH(D623&amp;"*",Census_Metro_List!$A:$A,0)),"No Match")</f>
        <v>No Match</v>
      </c>
      <c r="F623" s="1" t="str">
        <f t="shared" si="28"/>
        <v>ID</v>
      </c>
      <c r="G623" s="1" t="str">
        <f t="shared" si="29"/>
        <v>Review</v>
      </c>
    </row>
    <row r="624" spans="1:7" x14ac:dyDescent="0.35">
      <c r="A624" s="1" t="s">
        <v>1025</v>
      </c>
      <c r="B624" s="1"/>
      <c r="C624" s="1" t="s">
        <v>1299</v>
      </c>
      <c r="D624" s="1" t="str">
        <f t="shared" si="27"/>
        <v>Durant</v>
      </c>
      <c r="E624" s="1" t="str">
        <f>IFERROR(INDEX(Census_Metro_List!$A:$A,MATCH(D624&amp;"*",Census_Metro_List!$A:$A,0)),"No Match")</f>
        <v>No Match</v>
      </c>
      <c r="F624" s="1" t="str">
        <f t="shared" si="28"/>
        <v>OK</v>
      </c>
      <c r="G624" s="1" t="str">
        <f t="shared" si="29"/>
        <v>Review</v>
      </c>
    </row>
    <row r="625" spans="1:7" x14ac:dyDescent="0.35">
      <c r="A625" s="1" t="s">
        <v>1026</v>
      </c>
      <c r="B625" s="1"/>
      <c r="C625" s="1" t="s">
        <v>1299</v>
      </c>
      <c r="D625" s="1" t="str">
        <f t="shared" si="27"/>
        <v>Moultrie</v>
      </c>
      <c r="E625" s="1" t="str">
        <f>IFERROR(INDEX(Census_Metro_List!$A:$A,MATCH(D625&amp;"*",Census_Metro_List!$A:$A,0)),"No Match")</f>
        <v>No Match</v>
      </c>
      <c r="F625" s="1" t="str">
        <f t="shared" si="28"/>
        <v>GA</v>
      </c>
      <c r="G625" s="1" t="str">
        <f t="shared" si="29"/>
        <v>Review</v>
      </c>
    </row>
    <row r="626" spans="1:7" x14ac:dyDescent="0.35">
      <c r="A626" s="1" t="s">
        <v>1027</v>
      </c>
      <c r="B626" s="1"/>
      <c r="C626" s="1" t="s">
        <v>1299</v>
      </c>
      <c r="D626" s="1" t="str">
        <f t="shared" si="27"/>
        <v>Bogalusa</v>
      </c>
      <c r="E626" s="1" t="str">
        <f>IFERROR(INDEX(Census_Metro_List!$A:$A,MATCH(D626&amp;"*",Census_Metro_List!$A:$A,0)),"No Match")</f>
        <v>No Match</v>
      </c>
      <c r="F626" s="1" t="str">
        <f t="shared" si="28"/>
        <v>LA</v>
      </c>
      <c r="G626" s="1" t="str">
        <f t="shared" si="29"/>
        <v>Review</v>
      </c>
    </row>
    <row r="627" spans="1:7" x14ac:dyDescent="0.35">
      <c r="A627" s="1" t="s">
        <v>1028</v>
      </c>
      <c r="B627" s="1"/>
      <c r="C627" s="1" t="s">
        <v>1299</v>
      </c>
      <c r="D627" s="1" t="str">
        <f t="shared" si="27"/>
        <v>Cornelia</v>
      </c>
      <c r="E627" s="1" t="str">
        <f>IFERROR(INDEX(Census_Metro_List!$A:$A,MATCH(D627&amp;"*",Census_Metro_List!$A:$A,0)),"No Match")</f>
        <v>No Match</v>
      </c>
      <c r="F627" s="1" t="str">
        <f t="shared" si="28"/>
        <v>GA</v>
      </c>
      <c r="G627" s="1" t="str">
        <f t="shared" si="29"/>
        <v>Review</v>
      </c>
    </row>
    <row r="628" spans="1:7" x14ac:dyDescent="0.35">
      <c r="A628" s="1" t="s">
        <v>1029</v>
      </c>
      <c r="B628" s="1"/>
      <c r="C628" s="1" t="s">
        <v>1299</v>
      </c>
      <c r="D628" s="1" t="str">
        <f t="shared" si="27"/>
        <v>Hillsdale</v>
      </c>
      <c r="E628" s="1" t="str">
        <f>IFERROR(INDEX(Census_Metro_List!$A:$A,MATCH(D628&amp;"*",Census_Metro_List!$A:$A,0)),"No Match")</f>
        <v>No Match</v>
      </c>
      <c r="F628" s="1" t="str">
        <f t="shared" si="28"/>
        <v>MI</v>
      </c>
      <c r="G628" s="1" t="str">
        <f t="shared" si="29"/>
        <v>Review</v>
      </c>
    </row>
    <row r="629" spans="1:7" x14ac:dyDescent="0.35">
      <c r="A629" s="1" t="s">
        <v>1030</v>
      </c>
      <c r="B629" s="1"/>
      <c r="C629" s="1" t="s">
        <v>1299</v>
      </c>
      <c r="D629" s="1" t="str">
        <f t="shared" si="27"/>
        <v>Thomasville</v>
      </c>
      <c r="E629" s="1" t="str">
        <f>IFERROR(INDEX(Census_Metro_List!$A:$A,MATCH(D629&amp;"*",Census_Metro_List!$A:$A,0)),"No Match")</f>
        <v>No Match</v>
      </c>
      <c r="F629" s="1" t="str">
        <f t="shared" si="28"/>
        <v>GA</v>
      </c>
      <c r="G629" s="1" t="str">
        <f t="shared" si="29"/>
        <v>Review</v>
      </c>
    </row>
    <row r="630" spans="1:7" x14ac:dyDescent="0.35">
      <c r="A630" s="1" t="s">
        <v>1031</v>
      </c>
      <c r="B630" s="1"/>
      <c r="C630" s="1" t="s">
        <v>1299</v>
      </c>
      <c r="D630" s="1" t="str">
        <f t="shared" si="27"/>
        <v>Paragould</v>
      </c>
      <c r="E630" s="1" t="str">
        <f>IFERROR(INDEX(Census_Metro_List!$A:$A,MATCH(D630&amp;"*",Census_Metro_List!$A:$A,0)),"No Match")</f>
        <v>No Match</v>
      </c>
      <c r="F630" s="1" t="str">
        <f t="shared" si="28"/>
        <v>AR</v>
      </c>
      <c r="G630" s="1" t="str">
        <f t="shared" si="29"/>
        <v>Review</v>
      </c>
    </row>
    <row r="631" spans="1:7" x14ac:dyDescent="0.35">
      <c r="A631" s="1" t="s">
        <v>1032</v>
      </c>
      <c r="B631" s="1"/>
      <c r="C631" s="1" t="s">
        <v>1299</v>
      </c>
      <c r="D631" s="1" t="str">
        <f t="shared" si="27"/>
        <v>Greenville</v>
      </c>
      <c r="E631" s="1" t="str">
        <f>IFERROR(INDEX(Census_Metro_List!$A:$A,MATCH(D631&amp;"*",Census_Metro_List!$A:$A,0)),"No Match")</f>
        <v>Greenville, NC Metro Area</v>
      </c>
      <c r="F631" s="1" t="str">
        <f t="shared" si="28"/>
        <v>MS</v>
      </c>
      <c r="G631" s="1" t="str">
        <f t="shared" si="29"/>
        <v>Review</v>
      </c>
    </row>
    <row r="632" spans="1:7" x14ac:dyDescent="0.35">
      <c r="A632" s="1" t="s">
        <v>1033</v>
      </c>
      <c r="B632" s="1"/>
      <c r="C632" s="1" t="s">
        <v>1299</v>
      </c>
      <c r="D632" s="1" t="str">
        <f t="shared" si="27"/>
        <v>Burlington</v>
      </c>
      <c r="E632" s="1" t="str">
        <f>IFERROR(INDEX(Census_Metro_List!$A:$A,MATCH(D632&amp;"*",Census_Metro_List!$A:$A,0)),"No Match")</f>
        <v>Burlington, NC Metro Area</v>
      </c>
      <c r="F632" s="1" t="str">
        <f t="shared" si="28"/>
        <v>IA</v>
      </c>
      <c r="G632" s="1" t="str">
        <f t="shared" si="29"/>
        <v>Review</v>
      </c>
    </row>
    <row r="633" spans="1:7" x14ac:dyDescent="0.35">
      <c r="A633" s="1" t="s">
        <v>1034</v>
      </c>
      <c r="B633" s="1"/>
      <c r="C633" s="1" t="s">
        <v>1299</v>
      </c>
      <c r="D633" s="1" t="str">
        <f t="shared" si="27"/>
        <v>Madisonville</v>
      </c>
      <c r="E633" s="1" t="str">
        <f>IFERROR(INDEX(Census_Metro_List!$A:$A,MATCH(D633&amp;"*",Census_Metro_List!$A:$A,0)),"No Match")</f>
        <v>No Match</v>
      </c>
      <c r="F633" s="1" t="str">
        <f t="shared" si="28"/>
        <v>KY</v>
      </c>
      <c r="G633" s="1" t="str">
        <f t="shared" si="29"/>
        <v>Review</v>
      </c>
    </row>
    <row r="634" spans="1:7" x14ac:dyDescent="0.35">
      <c r="A634" s="1" t="s">
        <v>1035</v>
      </c>
      <c r="B634" s="1"/>
      <c r="C634" s="1" t="s">
        <v>1299</v>
      </c>
      <c r="D634" s="1" t="str">
        <f t="shared" si="27"/>
        <v>Menomonie</v>
      </c>
      <c r="E634" s="1" t="str">
        <f>IFERROR(INDEX(Census_Metro_List!$A:$A,MATCH(D634&amp;"*",Census_Metro_List!$A:$A,0)),"No Match")</f>
        <v>No Match</v>
      </c>
      <c r="F634" s="1" t="str">
        <f t="shared" si="28"/>
        <v>WI</v>
      </c>
      <c r="G634" s="1" t="str">
        <f t="shared" si="29"/>
        <v>Review</v>
      </c>
    </row>
    <row r="635" spans="1:7" x14ac:dyDescent="0.35">
      <c r="A635" s="1" t="s">
        <v>1036</v>
      </c>
      <c r="B635" s="1"/>
      <c r="C635" s="1" t="s">
        <v>1299</v>
      </c>
      <c r="D635" s="1" t="str">
        <f t="shared" si="27"/>
        <v>Shawano</v>
      </c>
      <c r="E635" s="1" t="str">
        <f>IFERROR(INDEX(Census_Metro_List!$A:$A,MATCH(D635&amp;"*",Census_Metro_List!$A:$A,0)),"No Match")</f>
        <v>No Match</v>
      </c>
      <c r="F635" s="1" t="str">
        <f t="shared" si="28"/>
        <v>WI</v>
      </c>
      <c r="G635" s="1" t="str">
        <f t="shared" si="29"/>
        <v>Review</v>
      </c>
    </row>
    <row r="636" spans="1:7" x14ac:dyDescent="0.35">
      <c r="A636" s="1" t="s">
        <v>1037</v>
      </c>
      <c r="B636" s="1"/>
      <c r="C636" s="1" t="s">
        <v>1299</v>
      </c>
      <c r="D636" s="1" t="str">
        <f t="shared" si="27"/>
        <v>Vicksburg</v>
      </c>
      <c r="E636" s="1" t="str">
        <f>IFERROR(INDEX(Census_Metro_List!$A:$A,MATCH(D636&amp;"*",Census_Metro_List!$A:$A,0)),"No Match")</f>
        <v>No Match</v>
      </c>
      <c r="F636" s="1" t="str">
        <f t="shared" si="28"/>
        <v>MS</v>
      </c>
      <c r="G636" s="1" t="str">
        <f t="shared" si="29"/>
        <v>Review</v>
      </c>
    </row>
    <row r="637" spans="1:7" x14ac:dyDescent="0.35">
      <c r="A637" s="1" t="s">
        <v>1038</v>
      </c>
      <c r="B637" s="1"/>
      <c r="C637" s="1" t="s">
        <v>1299</v>
      </c>
      <c r="D637" s="1" t="str">
        <f t="shared" si="27"/>
        <v>Bedford</v>
      </c>
      <c r="E637" s="1" t="str">
        <f>IFERROR(INDEX(Census_Metro_List!$A:$A,MATCH(D637&amp;"*",Census_Metro_List!$A:$A,0)),"No Match")</f>
        <v>No Match</v>
      </c>
      <c r="F637" s="1" t="str">
        <f t="shared" si="28"/>
        <v>IN</v>
      </c>
      <c r="G637" s="1" t="str">
        <f t="shared" si="29"/>
        <v>Review</v>
      </c>
    </row>
    <row r="638" spans="1:7" x14ac:dyDescent="0.35">
      <c r="A638" s="1" t="s">
        <v>1039</v>
      </c>
      <c r="B638" s="1"/>
      <c r="C638" s="1" t="s">
        <v>1299</v>
      </c>
      <c r="D638" s="1" t="str">
        <f t="shared" si="27"/>
        <v>Washington</v>
      </c>
      <c r="E638" s="1" t="str">
        <f>IFERROR(INDEX(Census_Metro_List!$A:$A,MATCH(D638&amp;"*",Census_Metro_List!$A:$A,0)),"No Match")</f>
        <v>Washington-Arlington-Alexandria, DC-VA-MD-WV Metro Area</v>
      </c>
      <c r="F638" s="1" t="str">
        <f t="shared" si="28"/>
        <v>NC</v>
      </c>
      <c r="G638" s="1" t="str">
        <f t="shared" si="29"/>
        <v>Review</v>
      </c>
    </row>
    <row r="639" spans="1:7" x14ac:dyDescent="0.35">
      <c r="A639" s="1" t="s">
        <v>1040</v>
      </c>
      <c r="B639" s="1"/>
      <c r="C639" s="1" t="s">
        <v>1299</v>
      </c>
      <c r="D639" s="1" t="str">
        <f t="shared" si="27"/>
        <v>Freeport</v>
      </c>
      <c r="E639" s="1" t="str">
        <f>IFERROR(INDEX(Census_Metro_List!$A:$A,MATCH(D639&amp;"*",Census_Metro_List!$A:$A,0)),"No Match")</f>
        <v>No Match</v>
      </c>
      <c r="F639" s="1" t="str">
        <f t="shared" si="28"/>
        <v>IL</v>
      </c>
      <c r="G639" s="1" t="str">
        <f t="shared" si="29"/>
        <v>Review</v>
      </c>
    </row>
    <row r="640" spans="1:7" hidden="1" x14ac:dyDescent="0.35">
      <c r="A640" s="1" t="s">
        <v>1041</v>
      </c>
      <c r="B640" s="1"/>
      <c r="C640" s="1" t="s">
        <v>1299</v>
      </c>
      <c r="D640" s="1" t="str">
        <f t="shared" si="27"/>
        <v>Harrison</v>
      </c>
      <c r="E640" s="1" t="str">
        <f>IFERROR(INDEX(Census_Metro_List!$A:$A,MATCH(D640&amp;"*",Census_Metro_List!$A:$A,0)),"No Match")</f>
        <v>Harrisonburg, VA Metro Area</v>
      </c>
      <c r="F640" s="1" t="str">
        <f t="shared" si="28"/>
        <v>AR</v>
      </c>
      <c r="G640" s="1" t="str">
        <f t="shared" si="29"/>
        <v>Likely Match</v>
      </c>
    </row>
    <row r="641" spans="1:7" x14ac:dyDescent="0.35">
      <c r="A641" s="1" t="s">
        <v>1042</v>
      </c>
      <c r="B641" s="1"/>
      <c r="C641" s="1" t="s">
        <v>1299</v>
      </c>
      <c r="D641" s="1" t="str">
        <f t="shared" si="27"/>
        <v>Rolla</v>
      </c>
      <c r="E641" s="1" t="str">
        <f>IFERROR(INDEX(Census_Metro_List!$A:$A,MATCH(D641&amp;"*",Census_Metro_List!$A:$A,0)),"No Match")</f>
        <v>No Match</v>
      </c>
      <c r="F641" s="1" t="str">
        <f t="shared" si="28"/>
        <v>MO</v>
      </c>
      <c r="G641" s="1" t="str">
        <f t="shared" si="29"/>
        <v>Review</v>
      </c>
    </row>
    <row r="642" spans="1:7" x14ac:dyDescent="0.35">
      <c r="A642" s="1" t="s">
        <v>1043</v>
      </c>
      <c r="B642" s="1"/>
      <c r="C642" s="1" t="s">
        <v>1299</v>
      </c>
      <c r="D642" s="1" t="str">
        <f t="shared" ref="D642:D705" si="30">LEFT(A642,FIND(",",A642)-1)</f>
        <v>Coldwater</v>
      </c>
      <c r="E642" s="1" t="str">
        <f>IFERROR(INDEX(Census_Metro_List!$A:$A,MATCH(D642&amp;"*",Census_Metro_List!$A:$A,0)),"No Match")</f>
        <v>No Match</v>
      </c>
      <c r="F642" s="1" t="str">
        <f t="shared" ref="F642:F705" si="31">TRIM(RIGHT(A642,LEN(A642)-FIND(",",A642)))</f>
        <v>MI</v>
      </c>
      <c r="G642" s="1" t="str">
        <f t="shared" ref="G642:G705" si="32">IF(E642="No Match","Review",IF(ISNUMBER(SEARCH(F642,E642)),"Likely Match","Review"))</f>
        <v>Review</v>
      </c>
    </row>
    <row r="643" spans="1:7" x14ac:dyDescent="0.35">
      <c r="A643" s="1" t="s">
        <v>1044</v>
      </c>
      <c r="B643" s="1"/>
      <c r="C643" s="1" t="s">
        <v>1299</v>
      </c>
      <c r="D643" s="1" t="str">
        <f t="shared" si="30"/>
        <v>Marion</v>
      </c>
      <c r="E643" s="1" t="str">
        <f>IFERROR(INDEX(Census_Metro_List!$A:$A,MATCH(D643&amp;"*",Census_Metro_List!$A:$A,0)),"No Match")</f>
        <v>No Match</v>
      </c>
      <c r="F643" s="1" t="str">
        <f t="shared" si="31"/>
        <v>NC</v>
      </c>
      <c r="G643" s="1" t="str">
        <f t="shared" si="32"/>
        <v>Review</v>
      </c>
    </row>
    <row r="644" spans="1:7" x14ac:dyDescent="0.35">
      <c r="A644" s="1" t="s">
        <v>1045</v>
      </c>
      <c r="B644" s="1"/>
      <c r="C644" s="1" t="s">
        <v>1299</v>
      </c>
      <c r="D644" s="1" t="str">
        <f t="shared" si="30"/>
        <v>Huntingdon</v>
      </c>
      <c r="E644" s="1" t="str">
        <f>IFERROR(INDEX(Census_Metro_List!$A:$A,MATCH(D644&amp;"*",Census_Metro_List!$A:$A,0)),"No Match")</f>
        <v>No Match</v>
      </c>
      <c r="F644" s="1" t="str">
        <f t="shared" si="31"/>
        <v>PA</v>
      </c>
      <c r="G644" s="1" t="str">
        <f t="shared" si="32"/>
        <v>Review</v>
      </c>
    </row>
    <row r="645" spans="1:7" x14ac:dyDescent="0.35">
      <c r="A645" s="1" t="s">
        <v>1046</v>
      </c>
      <c r="B645" s="1"/>
      <c r="C645" s="1" t="s">
        <v>1299</v>
      </c>
      <c r="D645" s="1" t="str">
        <f t="shared" si="30"/>
        <v>Ellensburg</v>
      </c>
      <c r="E645" s="1" t="str">
        <f>IFERROR(INDEX(Census_Metro_List!$A:$A,MATCH(D645&amp;"*",Census_Metro_List!$A:$A,0)),"No Match")</f>
        <v>No Match</v>
      </c>
      <c r="F645" s="1" t="str">
        <f t="shared" si="31"/>
        <v>WA</v>
      </c>
      <c r="G645" s="1" t="str">
        <f t="shared" si="32"/>
        <v>Review</v>
      </c>
    </row>
    <row r="646" spans="1:7" x14ac:dyDescent="0.35">
      <c r="A646" s="1" t="s">
        <v>1047</v>
      </c>
      <c r="B646" s="1"/>
      <c r="C646" s="1" t="s">
        <v>1299</v>
      </c>
      <c r="D646" s="1" t="str">
        <f t="shared" si="30"/>
        <v>Ponca City</v>
      </c>
      <c r="E646" s="1" t="str">
        <f>IFERROR(INDEX(Census_Metro_List!$A:$A,MATCH(D646&amp;"*",Census_Metro_List!$A:$A,0)),"No Match")</f>
        <v>No Match</v>
      </c>
      <c r="F646" s="1" t="str">
        <f t="shared" si="31"/>
        <v>OK</v>
      </c>
      <c r="G646" s="1" t="str">
        <f t="shared" si="32"/>
        <v>Review</v>
      </c>
    </row>
    <row r="647" spans="1:7" x14ac:dyDescent="0.35">
      <c r="A647" s="1" t="s">
        <v>1048</v>
      </c>
      <c r="B647" s="1"/>
      <c r="C647" s="1" t="s">
        <v>1299</v>
      </c>
      <c r="D647" s="1" t="str">
        <f t="shared" si="30"/>
        <v>Lawrenceburg</v>
      </c>
      <c r="E647" s="1" t="str">
        <f>IFERROR(INDEX(Census_Metro_List!$A:$A,MATCH(D647&amp;"*",Census_Metro_List!$A:$A,0)),"No Match")</f>
        <v>No Match</v>
      </c>
      <c r="F647" s="1" t="str">
        <f t="shared" si="31"/>
        <v>TN</v>
      </c>
      <c r="G647" s="1" t="str">
        <f t="shared" si="32"/>
        <v>Review</v>
      </c>
    </row>
    <row r="648" spans="1:7" x14ac:dyDescent="0.35">
      <c r="A648" s="1" t="s">
        <v>1049</v>
      </c>
      <c r="B648" s="1"/>
      <c r="C648" s="1" t="s">
        <v>1299</v>
      </c>
      <c r="D648" s="1" t="str">
        <f t="shared" si="30"/>
        <v>McAlester</v>
      </c>
      <c r="E648" s="1" t="str">
        <f>IFERROR(INDEX(Census_Metro_List!$A:$A,MATCH(D648&amp;"*",Census_Metro_List!$A:$A,0)),"No Match")</f>
        <v>No Match</v>
      </c>
      <c r="F648" s="1" t="str">
        <f t="shared" si="31"/>
        <v>OK</v>
      </c>
      <c r="G648" s="1" t="str">
        <f t="shared" si="32"/>
        <v>Review</v>
      </c>
    </row>
    <row r="649" spans="1:7" x14ac:dyDescent="0.35">
      <c r="A649" s="1" t="s">
        <v>1050</v>
      </c>
      <c r="B649" s="1"/>
      <c r="C649" s="1" t="s">
        <v>1299</v>
      </c>
      <c r="D649" s="1" t="str">
        <f t="shared" si="30"/>
        <v>Mount Pleasant</v>
      </c>
      <c r="E649" s="1" t="str">
        <f>IFERROR(INDEX(Census_Metro_List!$A:$A,MATCH(D649&amp;"*",Census_Metro_List!$A:$A,0)),"No Match")</f>
        <v>No Match</v>
      </c>
      <c r="F649" s="1" t="str">
        <f t="shared" si="31"/>
        <v>TX</v>
      </c>
      <c r="G649" s="1" t="str">
        <f t="shared" si="32"/>
        <v>Review</v>
      </c>
    </row>
    <row r="650" spans="1:7" x14ac:dyDescent="0.35">
      <c r="A650" s="1" t="s">
        <v>1051</v>
      </c>
      <c r="B650" s="1"/>
      <c r="C650" s="1" t="s">
        <v>1299</v>
      </c>
      <c r="D650" s="1" t="str">
        <f t="shared" si="30"/>
        <v>Willmar</v>
      </c>
      <c r="E650" s="1" t="str">
        <f>IFERROR(INDEX(Census_Metro_List!$A:$A,MATCH(D650&amp;"*",Census_Metro_List!$A:$A,0)),"No Match")</f>
        <v>No Match</v>
      </c>
      <c r="F650" s="1" t="str">
        <f t="shared" si="31"/>
        <v>MN</v>
      </c>
      <c r="G650" s="1" t="str">
        <f t="shared" si="32"/>
        <v>Review</v>
      </c>
    </row>
    <row r="651" spans="1:7" x14ac:dyDescent="0.35">
      <c r="A651" s="1" t="s">
        <v>1052</v>
      </c>
      <c r="B651" s="1"/>
      <c r="C651" s="1" t="s">
        <v>1299</v>
      </c>
      <c r="D651" s="1" t="str">
        <f t="shared" si="30"/>
        <v>Rockingham</v>
      </c>
      <c r="E651" s="1" t="str">
        <f>IFERROR(INDEX(Census_Metro_List!$A:$A,MATCH(D651&amp;"*",Census_Metro_List!$A:$A,0)),"No Match")</f>
        <v>No Match</v>
      </c>
      <c r="F651" s="1" t="str">
        <f t="shared" si="31"/>
        <v>NC</v>
      </c>
      <c r="G651" s="1" t="str">
        <f t="shared" si="32"/>
        <v>Review</v>
      </c>
    </row>
    <row r="652" spans="1:7" x14ac:dyDescent="0.35">
      <c r="A652" s="1" t="s">
        <v>1053</v>
      </c>
      <c r="B652" s="1"/>
      <c r="C652" s="1" t="s">
        <v>1299</v>
      </c>
      <c r="D652" s="1" t="str">
        <f t="shared" si="30"/>
        <v>Muscatine</v>
      </c>
      <c r="E652" s="1" t="str">
        <f>IFERROR(INDEX(Census_Metro_List!$A:$A,MATCH(D652&amp;"*",Census_Metro_List!$A:$A,0)),"No Match")</f>
        <v>No Match</v>
      </c>
      <c r="F652" s="1" t="str">
        <f t="shared" si="31"/>
        <v>IA</v>
      </c>
      <c r="G652" s="1" t="str">
        <f t="shared" si="32"/>
        <v>Review</v>
      </c>
    </row>
    <row r="653" spans="1:7" x14ac:dyDescent="0.35">
      <c r="A653" s="1" t="s">
        <v>1054</v>
      </c>
      <c r="B653" s="1"/>
      <c r="C653" s="1" t="s">
        <v>1299</v>
      </c>
      <c r="D653" s="1" t="str">
        <f t="shared" si="30"/>
        <v>Lewisburg</v>
      </c>
      <c r="E653" s="1" t="str">
        <f>IFERROR(INDEX(Census_Metro_List!$A:$A,MATCH(D653&amp;"*",Census_Metro_List!$A:$A,0)),"No Match")</f>
        <v>No Match</v>
      </c>
      <c r="F653" s="1" t="str">
        <f t="shared" si="31"/>
        <v>PA</v>
      </c>
      <c r="G653" s="1" t="str">
        <f t="shared" si="32"/>
        <v>Review</v>
      </c>
    </row>
    <row r="654" spans="1:7" x14ac:dyDescent="0.35">
      <c r="A654" s="1" t="s">
        <v>1055</v>
      </c>
      <c r="B654" s="1"/>
      <c r="C654" s="1" t="s">
        <v>1299</v>
      </c>
      <c r="D654" s="1" t="str">
        <f t="shared" si="30"/>
        <v>Auburn</v>
      </c>
      <c r="E654" s="1" t="str">
        <f>IFERROR(INDEX(Census_Metro_List!$A:$A,MATCH(D654&amp;"*",Census_Metro_List!$A:$A,0)),"No Match")</f>
        <v>Auburn-Opelika, AL Metro Area</v>
      </c>
      <c r="F654" s="1" t="str">
        <f t="shared" si="31"/>
        <v>IN</v>
      </c>
      <c r="G654" s="1" t="str">
        <f t="shared" si="32"/>
        <v>Review</v>
      </c>
    </row>
    <row r="655" spans="1:7" x14ac:dyDescent="0.35">
      <c r="A655" s="1" t="s">
        <v>1056</v>
      </c>
      <c r="B655" s="1"/>
      <c r="C655" s="1" t="s">
        <v>1299</v>
      </c>
      <c r="D655" s="1" t="str">
        <f t="shared" si="30"/>
        <v>Duncan</v>
      </c>
      <c r="E655" s="1" t="str">
        <f>IFERROR(INDEX(Census_Metro_List!$A:$A,MATCH(D655&amp;"*",Census_Metro_List!$A:$A,0)),"No Match")</f>
        <v>No Match</v>
      </c>
      <c r="F655" s="1" t="str">
        <f t="shared" si="31"/>
        <v>OK</v>
      </c>
      <c r="G655" s="1" t="str">
        <f t="shared" si="32"/>
        <v>Review</v>
      </c>
    </row>
    <row r="656" spans="1:7" x14ac:dyDescent="0.35">
      <c r="A656" s="1" t="s">
        <v>1057</v>
      </c>
      <c r="B656" s="1"/>
      <c r="C656" s="1" t="s">
        <v>1299</v>
      </c>
      <c r="D656" s="1" t="str">
        <f t="shared" si="30"/>
        <v>Sedalia</v>
      </c>
      <c r="E656" s="1" t="str">
        <f>IFERROR(INDEX(Census_Metro_List!$A:$A,MATCH(D656&amp;"*",Census_Metro_List!$A:$A,0)),"No Match")</f>
        <v>No Match</v>
      </c>
      <c r="F656" s="1" t="str">
        <f t="shared" si="31"/>
        <v>MO</v>
      </c>
      <c r="G656" s="1" t="str">
        <f t="shared" si="32"/>
        <v>Review</v>
      </c>
    </row>
    <row r="657" spans="1:7" x14ac:dyDescent="0.35">
      <c r="A657" s="1" t="s">
        <v>1058</v>
      </c>
      <c r="B657" s="1"/>
      <c r="C657" s="1" t="s">
        <v>1299</v>
      </c>
      <c r="D657" s="1" t="str">
        <f t="shared" si="30"/>
        <v>Cedartown</v>
      </c>
      <c r="E657" s="1" t="str">
        <f>IFERROR(INDEX(Census_Metro_List!$A:$A,MATCH(D657&amp;"*",Census_Metro_List!$A:$A,0)),"No Match")</f>
        <v>No Match</v>
      </c>
      <c r="F657" s="1" t="str">
        <f t="shared" si="31"/>
        <v>GA</v>
      </c>
      <c r="G657" s="1" t="str">
        <f t="shared" si="32"/>
        <v>Review</v>
      </c>
    </row>
    <row r="658" spans="1:7" x14ac:dyDescent="0.35">
      <c r="A658" s="1" t="s">
        <v>1059</v>
      </c>
      <c r="B658" s="1"/>
      <c r="C658" s="1" t="s">
        <v>1299</v>
      </c>
      <c r="D658" s="1" t="str">
        <f t="shared" si="30"/>
        <v>Henderson</v>
      </c>
      <c r="E658" s="1" t="str">
        <f>IFERROR(INDEX(Census_Metro_List!$A:$A,MATCH(D658&amp;"*",Census_Metro_List!$A:$A,0)),"No Match")</f>
        <v>No Match</v>
      </c>
      <c r="F658" s="1" t="str">
        <f t="shared" si="31"/>
        <v>NC</v>
      </c>
      <c r="G658" s="1" t="str">
        <f t="shared" si="32"/>
        <v>Review</v>
      </c>
    </row>
    <row r="659" spans="1:7" x14ac:dyDescent="0.35">
      <c r="A659" s="1" t="s">
        <v>1060</v>
      </c>
      <c r="B659" s="1"/>
      <c r="C659" s="1" t="s">
        <v>1299</v>
      </c>
      <c r="D659" s="1" t="str">
        <f t="shared" si="30"/>
        <v>Aberdeen</v>
      </c>
      <c r="E659" s="1" t="str">
        <f>IFERROR(INDEX(Census_Metro_List!$A:$A,MATCH(D659&amp;"*",Census_Metro_List!$A:$A,0)),"No Match")</f>
        <v>No Match</v>
      </c>
      <c r="F659" s="1" t="str">
        <f t="shared" si="31"/>
        <v>SD</v>
      </c>
      <c r="G659" s="1" t="str">
        <f t="shared" si="32"/>
        <v>Review</v>
      </c>
    </row>
    <row r="660" spans="1:7" x14ac:dyDescent="0.35">
      <c r="A660" s="1" t="s">
        <v>1061</v>
      </c>
      <c r="B660" s="1"/>
      <c r="C660" s="1" t="s">
        <v>1299</v>
      </c>
      <c r="D660" s="1" t="str">
        <f t="shared" si="30"/>
        <v>Rock Springs</v>
      </c>
      <c r="E660" s="1" t="str">
        <f>IFERROR(INDEX(Census_Metro_List!$A:$A,MATCH(D660&amp;"*",Census_Metro_List!$A:$A,0)),"No Match")</f>
        <v>No Match</v>
      </c>
      <c r="F660" s="1" t="str">
        <f t="shared" si="31"/>
        <v>WY</v>
      </c>
      <c r="G660" s="1" t="str">
        <f t="shared" si="32"/>
        <v>Review</v>
      </c>
    </row>
    <row r="661" spans="1:7" x14ac:dyDescent="0.35">
      <c r="A661" s="1" t="s">
        <v>1062</v>
      </c>
      <c r="B661" s="1"/>
      <c r="C661" s="1" t="s">
        <v>1299</v>
      </c>
      <c r="D661" s="1" t="str">
        <f t="shared" si="30"/>
        <v>Garden City</v>
      </c>
      <c r="E661" s="1" t="str">
        <f>IFERROR(INDEX(Census_Metro_List!$A:$A,MATCH(D661&amp;"*",Census_Metro_List!$A:$A,0)),"No Match")</f>
        <v>No Match</v>
      </c>
      <c r="F661" s="1" t="str">
        <f t="shared" si="31"/>
        <v>KS</v>
      </c>
      <c r="G661" s="1" t="str">
        <f t="shared" si="32"/>
        <v>Review</v>
      </c>
    </row>
    <row r="662" spans="1:7" x14ac:dyDescent="0.35">
      <c r="A662" s="1" t="s">
        <v>1063</v>
      </c>
      <c r="B662" s="1"/>
      <c r="C662" s="1" t="s">
        <v>1299</v>
      </c>
      <c r="D662" s="1" t="str">
        <f t="shared" si="30"/>
        <v>Stephenville</v>
      </c>
      <c r="E662" s="1" t="str">
        <f>IFERROR(INDEX(Census_Metro_List!$A:$A,MATCH(D662&amp;"*",Census_Metro_List!$A:$A,0)),"No Match")</f>
        <v>No Match</v>
      </c>
      <c r="F662" s="1" t="str">
        <f t="shared" si="31"/>
        <v>TX</v>
      </c>
      <c r="G662" s="1" t="str">
        <f t="shared" si="32"/>
        <v>Review</v>
      </c>
    </row>
    <row r="663" spans="1:7" x14ac:dyDescent="0.35">
      <c r="A663" s="1" t="s">
        <v>1064</v>
      </c>
      <c r="B663" s="1"/>
      <c r="C663" s="1" t="s">
        <v>1299</v>
      </c>
      <c r="D663" s="1" t="str">
        <f t="shared" si="30"/>
        <v>Celina</v>
      </c>
      <c r="E663" s="1" t="str">
        <f>IFERROR(INDEX(Census_Metro_List!$A:$A,MATCH(D663&amp;"*",Census_Metro_List!$A:$A,0)),"No Match")</f>
        <v>No Match</v>
      </c>
      <c r="F663" s="1" t="str">
        <f t="shared" si="31"/>
        <v>OH</v>
      </c>
      <c r="G663" s="1" t="str">
        <f t="shared" si="32"/>
        <v>Review</v>
      </c>
    </row>
    <row r="664" spans="1:7" x14ac:dyDescent="0.35">
      <c r="A664" s="1" t="s">
        <v>1065</v>
      </c>
      <c r="B664" s="1"/>
      <c r="C664" s="1" t="s">
        <v>1299</v>
      </c>
      <c r="D664" s="1" t="str">
        <f t="shared" si="30"/>
        <v>Wilmington</v>
      </c>
      <c r="E664" s="1" t="str">
        <f>IFERROR(INDEX(Census_Metro_List!$A:$A,MATCH(D664&amp;"*",Census_Metro_List!$A:$A,0)),"No Match")</f>
        <v>Wilmington, NC Metro Area</v>
      </c>
      <c r="F664" s="1" t="str">
        <f t="shared" si="31"/>
        <v>OH</v>
      </c>
      <c r="G664" s="1" t="str">
        <f t="shared" si="32"/>
        <v>Review</v>
      </c>
    </row>
    <row r="665" spans="1:7" x14ac:dyDescent="0.35">
      <c r="A665" s="1" t="s">
        <v>1066</v>
      </c>
      <c r="B665" s="1"/>
      <c r="C665" s="1" t="s">
        <v>1299</v>
      </c>
      <c r="D665" s="1" t="str">
        <f t="shared" si="30"/>
        <v>Bucyrus</v>
      </c>
      <c r="E665" s="1" t="str">
        <f>IFERROR(INDEX(Census_Metro_List!$A:$A,MATCH(D665&amp;"*",Census_Metro_List!$A:$A,0)),"No Match")</f>
        <v>No Match</v>
      </c>
      <c r="F665" s="1" t="str">
        <f t="shared" si="31"/>
        <v>OH</v>
      </c>
      <c r="G665" s="1" t="str">
        <f t="shared" si="32"/>
        <v>Review</v>
      </c>
    </row>
    <row r="666" spans="1:7" x14ac:dyDescent="0.35">
      <c r="A666" s="1" t="s">
        <v>1067</v>
      </c>
      <c r="B666" s="1"/>
      <c r="C666" s="1" t="s">
        <v>1299</v>
      </c>
      <c r="D666" s="1" t="str">
        <f t="shared" si="30"/>
        <v>Alma</v>
      </c>
      <c r="E666" s="1" t="str">
        <f>IFERROR(INDEX(Census_Metro_List!$A:$A,MATCH(D666&amp;"*",Census_Metro_List!$A:$A,0)),"No Match")</f>
        <v>No Match</v>
      </c>
      <c r="F666" s="1" t="str">
        <f t="shared" si="31"/>
        <v>MI</v>
      </c>
      <c r="G666" s="1" t="str">
        <f t="shared" si="32"/>
        <v>Review</v>
      </c>
    </row>
    <row r="667" spans="1:7" x14ac:dyDescent="0.35">
      <c r="A667" s="1" t="s">
        <v>1068</v>
      </c>
      <c r="B667" s="1"/>
      <c r="C667" s="1" t="s">
        <v>1299</v>
      </c>
      <c r="D667" s="1" t="str">
        <f t="shared" si="30"/>
        <v>El Campo</v>
      </c>
      <c r="E667" s="1" t="str">
        <f>IFERROR(INDEX(Census_Metro_List!$A:$A,MATCH(D667&amp;"*",Census_Metro_List!$A:$A,0)),"No Match")</f>
        <v>No Match</v>
      </c>
      <c r="F667" s="1" t="str">
        <f t="shared" si="31"/>
        <v>TX</v>
      </c>
      <c r="G667" s="1" t="str">
        <f t="shared" si="32"/>
        <v>Review</v>
      </c>
    </row>
    <row r="668" spans="1:7" x14ac:dyDescent="0.35">
      <c r="A668" s="1" t="s">
        <v>1069</v>
      </c>
      <c r="B668" s="1"/>
      <c r="C668" s="1" t="s">
        <v>1299</v>
      </c>
      <c r="D668" s="1" t="str">
        <f t="shared" si="30"/>
        <v>Mountain Home</v>
      </c>
      <c r="E668" s="1" t="str">
        <f>IFERROR(INDEX(Census_Metro_List!$A:$A,MATCH(D668&amp;"*",Census_Metro_List!$A:$A,0)),"No Match")</f>
        <v>No Match</v>
      </c>
      <c r="F668" s="1" t="str">
        <f t="shared" si="31"/>
        <v>AR</v>
      </c>
      <c r="G668" s="1" t="str">
        <f t="shared" si="32"/>
        <v>Review</v>
      </c>
    </row>
    <row r="669" spans="1:7" x14ac:dyDescent="0.35">
      <c r="A669" s="1" t="s">
        <v>1070</v>
      </c>
      <c r="B669" s="1"/>
      <c r="C669" s="1" t="s">
        <v>1299</v>
      </c>
      <c r="D669" s="1" t="str">
        <f t="shared" si="30"/>
        <v>Gainesville</v>
      </c>
      <c r="E669" s="1" t="str">
        <f>IFERROR(INDEX(Census_Metro_List!$A:$A,MATCH(D669&amp;"*",Census_Metro_List!$A:$A,0)),"No Match")</f>
        <v>Gainesville, FL Metro Area</v>
      </c>
      <c r="F669" s="1" t="str">
        <f t="shared" si="31"/>
        <v>TX</v>
      </c>
      <c r="G669" s="1" t="str">
        <f t="shared" si="32"/>
        <v>Review</v>
      </c>
    </row>
    <row r="670" spans="1:7" x14ac:dyDescent="0.35">
      <c r="A670" s="1" t="s">
        <v>1071</v>
      </c>
      <c r="B670" s="1"/>
      <c r="C670" s="1" t="s">
        <v>1299</v>
      </c>
      <c r="D670" s="1" t="str">
        <f t="shared" si="30"/>
        <v>Tifton</v>
      </c>
      <c r="E670" s="1" t="str">
        <f>IFERROR(INDEX(Census_Metro_List!$A:$A,MATCH(D670&amp;"*",Census_Metro_List!$A:$A,0)),"No Match")</f>
        <v>No Match</v>
      </c>
      <c r="F670" s="1" t="str">
        <f t="shared" si="31"/>
        <v>GA</v>
      </c>
      <c r="G670" s="1" t="str">
        <f t="shared" si="32"/>
        <v>Review</v>
      </c>
    </row>
    <row r="671" spans="1:7" x14ac:dyDescent="0.35">
      <c r="A671" s="1" t="s">
        <v>1072</v>
      </c>
      <c r="B671" s="1"/>
      <c r="C671" s="1" t="s">
        <v>1299</v>
      </c>
      <c r="D671" s="1" t="str">
        <f t="shared" si="30"/>
        <v>Blytheville</v>
      </c>
      <c r="E671" s="1" t="str">
        <f>IFERROR(INDEX(Census_Metro_List!$A:$A,MATCH(D671&amp;"*",Census_Metro_List!$A:$A,0)),"No Match")</f>
        <v>No Match</v>
      </c>
      <c r="F671" s="1" t="str">
        <f t="shared" si="31"/>
        <v>AR</v>
      </c>
      <c r="G671" s="1" t="str">
        <f t="shared" si="32"/>
        <v>Review</v>
      </c>
    </row>
    <row r="672" spans="1:7" x14ac:dyDescent="0.35">
      <c r="A672" s="1" t="s">
        <v>1073</v>
      </c>
      <c r="B672" s="1"/>
      <c r="C672" s="1" t="s">
        <v>1299</v>
      </c>
      <c r="D672" s="1" t="str">
        <f t="shared" si="30"/>
        <v>McMinnville</v>
      </c>
      <c r="E672" s="1" t="str">
        <f>IFERROR(INDEX(Census_Metro_List!$A:$A,MATCH(D672&amp;"*",Census_Metro_List!$A:$A,0)),"No Match")</f>
        <v>No Match</v>
      </c>
      <c r="F672" s="1" t="str">
        <f t="shared" si="31"/>
        <v>TN</v>
      </c>
      <c r="G672" s="1" t="str">
        <f t="shared" si="32"/>
        <v>Review</v>
      </c>
    </row>
    <row r="673" spans="1:7" x14ac:dyDescent="0.35">
      <c r="A673" s="1" t="s">
        <v>1074</v>
      </c>
      <c r="B673" s="1"/>
      <c r="C673" s="1" t="s">
        <v>1299</v>
      </c>
      <c r="D673" s="1" t="str">
        <f t="shared" si="30"/>
        <v>Astoria</v>
      </c>
      <c r="E673" s="1" t="str">
        <f>IFERROR(INDEX(Census_Metro_List!$A:$A,MATCH(D673&amp;"*",Census_Metro_List!$A:$A,0)),"No Match")</f>
        <v>No Match</v>
      </c>
      <c r="F673" s="1" t="str">
        <f t="shared" si="31"/>
        <v>OR</v>
      </c>
      <c r="G673" s="1" t="str">
        <f t="shared" si="32"/>
        <v>Review</v>
      </c>
    </row>
    <row r="674" spans="1:7" x14ac:dyDescent="0.35">
      <c r="A674" s="1" t="s">
        <v>1075</v>
      </c>
      <c r="B674" s="1"/>
      <c r="C674" s="1" t="s">
        <v>1299</v>
      </c>
      <c r="D674" s="1" t="str">
        <f t="shared" si="30"/>
        <v>Bradford</v>
      </c>
      <c r="E674" s="1" t="str">
        <f>IFERROR(INDEX(Census_Metro_List!$A:$A,MATCH(D674&amp;"*",Census_Metro_List!$A:$A,0)),"No Match")</f>
        <v>No Match</v>
      </c>
      <c r="F674" s="1" t="str">
        <f t="shared" si="31"/>
        <v>PA</v>
      </c>
      <c r="G674" s="1" t="str">
        <f t="shared" si="32"/>
        <v>Review</v>
      </c>
    </row>
    <row r="675" spans="1:7" x14ac:dyDescent="0.35">
      <c r="A675" s="1" t="s">
        <v>1076</v>
      </c>
      <c r="B675" s="1"/>
      <c r="C675" s="1" t="s">
        <v>1299</v>
      </c>
      <c r="D675" s="1" t="str">
        <f t="shared" si="30"/>
        <v>EspaÂ±ola</v>
      </c>
      <c r="E675" s="1" t="str">
        <f>IFERROR(INDEX(Census_Metro_List!$A:$A,MATCH(D675&amp;"*",Census_Metro_List!$A:$A,0)),"No Match")</f>
        <v>No Match</v>
      </c>
      <c r="F675" s="1" t="str">
        <f t="shared" si="31"/>
        <v>NM</v>
      </c>
      <c r="G675" s="1" t="str">
        <f t="shared" si="32"/>
        <v>Review</v>
      </c>
    </row>
    <row r="676" spans="1:7" x14ac:dyDescent="0.35">
      <c r="A676" s="1" t="s">
        <v>1077</v>
      </c>
      <c r="B676" s="1"/>
      <c r="C676" s="1" t="s">
        <v>1299</v>
      </c>
      <c r="D676" s="1" t="str">
        <f t="shared" si="30"/>
        <v>McComb</v>
      </c>
      <c r="E676" s="1" t="str">
        <f>IFERROR(INDEX(Census_Metro_List!$A:$A,MATCH(D676&amp;"*",Census_Metro_List!$A:$A,0)),"No Match")</f>
        <v>No Match</v>
      </c>
      <c r="F676" s="1" t="str">
        <f t="shared" si="31"/>
        <v>MS</v>
      </c>
      <c r="G676" s="1" t="str">
        <f t="shared" si="32"/>
        <v>Review</v>
      </c>
    </row>
    <row r="677" spans="1:7" x14ac:dyDescent="0.35">
      <c r="A677" s="1" t="s">
        <v>1078</v>
      </c>
      <c r="B677" s="1"/>
      <c r="C677" s="1" t="s">
        <v>1299</v>
      </c>
      <c r="D677" s="1" t="str">
        <f t="shared" si="30"/>
        <v>Big Stone Gap</v>
      </c>
      <c r="E677" s="1" t="str">
        <f>IFERROR(INDEX(Census_Metro_List!$A:$A,MATCH(D677&amp;"*",Census_Metro_List!$A:$A,0)),"No Match")</f>
        <v>No Match</v>
      </c>
      <c r="F677" s="1" t="str">
        <f t="shared" si="31"/>
        <v>VA</v>
      </c>
      <c r="G677" s="1" t="str">
        <f t="shared" si="32"/>
        <v>Review</v>
      </c>
    </row>
    <row r="678" spans="1:7" x14ac:dyDescent="0.35">
      <c r="A678" s="1" t="s">
        <v>1079</v>
      </c>
      <c r="B678" s="1"/>
      <c r="C678" s="1" t="s">
        <v>1299</v>
      </c>
      <c r="D678" s="1" t="str">
        <f t="shared" si="30"/>
        <v>Marshalltown</v>
      </c>
      <c r="E678" s="1" t="str">
        <f>IFERROR(INDEX(Census_Metro_List!$A:$A,MATCH(D678&amp;"*",Census_Metro_List!$A:$A,0)),"No Match")</f>
        <v>No Match</v>
      </c>
      <c r="F678" s="1" t="str">
        <f t="shared" si="31"/>
        <v>IA</v>
      </c>
      <c r="G678" s="1" t="str">
        <f t="shared" si="32"/>
        <v>Review</v>
      </c>
    </row>
    <row r="679" spans="1:7" x14ac:dyDescent="0.35">
      <c r="A679" s="1" t="s">
        <v>1080</v>
      </c>
      <c r="B679" s="1"/>
      <c r="C679" s="1" t="s">
        <v>1299</v>
      </c>
      <c r="D679" s="1" t="str">
        <f t="shared" si="30"/>
        <v>Big Rapids</v>
      </c>
      <c r="E679" s="1" t="str">
        <f>IFERROR(INDEX(Census_Metro_List!$A:$A,MATCH(D679&amp;"*",Census_Metro_List!$A:$A,0)),"No Match")</f>
        <v>No Match</v>
      </c>
      <c r="F679" s="1" t="str">
        <f t="shared" si="31"/>
        <v>MI</v>
      </c>
      <c r="G679" s="1" t="str">
        <f t="shared" si="32"/>
        <v>Review</v>
      </c>
    </row>
    <row r="680" spans="1:7" x14ac:dyDescent="0.35">
      <c r="A680" s="1" t="s">
        <v>1081</v>
      </c>
      <c r="B680" s="1"/>
      <c r="C680" s="1" t="s">
        <v>1299</v>
      </c>
      <c r="D680" s="1" t="str">
        <f t="shared" si="30"/>
        <v>Austin</v>
      </c>
      <c r="E680" s="1" t="str">
        <f>IFERROR(INDEX(Census_Metro_List!$A:$A,MATCH(D680&amp;"*",Census_Metro_List!$A:$A,0)),"No Match")</f>
        <v>Austin-Round Rock-San Marcos, TX Metro Area</v>
      </c>
      <c r="F680" s="1" t="str">
        <f t="shared" si="31"/>
        <v>MN</v>
      </c>
      <c r="G680" s="1" t="str">
        <f t="shared" si="32"/>
        <v>Review</v>
      </c>
    </row>
    <row r="681" spans="1:7" x14ac:dyDescent="0.35">
      <c r="A681" s="1" t="s">
        <v>1082</v>
      </c>
      <c r="B681" s="1"/>
      <c r="C681" s="1" t="s">
        <v>1299</v>
      </c>
      <c r="D681" s="1" t="str">
        <f t="shared" si="30"/>
        <v>Selinsgrove</v>
      </c>
      <c r="E681" s="1" t="str">
        <f>IFERROR(INDEX(Census_Metro_List!$A:$A,MATCH(D681&amp;"*",Census_Metro_List!$A:$A,0)),"No Match")</f>
        <v>No Match</v>
      </c>
      <c r="F681" s="1" t="str">
        <f t="shared" si="31"/>
        <v>PA</v>
      </c>
      <c r="G681" s="1" t="str">
        <f t="shared" si="32"/>
        <v>Review</v>
      </c>
    </row>
    <row r="682" spans="1:7" x14ac:dyDescent="0.35">
      <c r="A682" s="1" t="s">
        <v>1083</v>
      </c>
      <c r="B682" s="1"/>
      <c r="C682" s="1" t="s">
        <v>1299</v>
      </c>
      <c r="D682" s="1" t="str">
        <f t="shared" si="30"/>
        <v>West Plains</v>
      </c>
      <c r="E682" s="1" t="str">
        <f>IFERROR(INDEX(Census_Metro_List!$A:$A,MATCH(D682&amp;"*",Census_Metro_List!$A:$A,0)),"No Match")</f>
        <v>No Match</v>
      </c>
      <c r="F682" s="1" t="str">
        <f t="shared" si="31"/>
        <v>MO</v>
      </c>
      <c r="G682" s="1" t="str">
        <f t="shared" si="32"/>
        <v>Review</v>
      </c>
    </row>
    <row r="683" spans="1:7" x14ac:dyDescent="0.35">
      <c r="A683" s="1" t="s">
        <v>1084</v>
      </c>
      <c r="B683" s="1"/>
      <c r="C683" s="1" t="s">
        <v>1299</v>
      </c>
      <c r="D683" s="1" t="str">
        <f t="shared" si="30"/>
        <v>Okeechobee</v>
      </c>
      <c r="E683" s="1" t="str">
        <f>IFERROR(INDEX(Census_Metro_List!$A:$A,MATCH(D683&amp;"*",Census_Metro_List!$A:$A,0)),"No Match")</f>
        <v>No Match</v>
      </c>
      <c r="F683" s="1" t="str">
        <f t="shared" si="31"/>
        <v>FL</v>
      </c>
      <c r="G683" s="1" t="str">
        <f t="shared" si="32"/>
        <v>Review</v>
      </c>
    </row>
    <row r="684" spans="1:7" x14ac:dyDescent="0.35">
      <c r="A684" s="1" t="s">
        <v>1085</v>
      </c>
      <c r="B684" s="1"/>
      <c r="C684" s="1" t="s">
        <v>1299</v>
      </c>
      <c r="D684" s="1" t="str">
        <f t="shared" si="30"/>
        <v>Houghton</v>
      </c>
      <c r="E684" s="1" t="str">
        <f>IFERROR(INDEX(Census_Metro_List!$A:$A,MATCH(D684&amp;"*",Census_Metro_List!$A:$A,0)),"No Match")</f>
        <v>No Match</v>
      </c>
      <c r="F684" s="1" t="str">
        <f t="shared" si="31"/>
        <v>MI</v>
      </c>
      <c r="G684" s="1" t="str">
        <f t="shared" si="32"/>
        <v>Review</v>
      </c>
    </row>
    <row r="685" spans="1:7" x14ac:dyDescent="0.35">
      <c r="A685" s="1" t="s">
        <v>1086</v>
      </c>
      <c r="B685" s="1"/>
      <c r="C685" s="1" t="s">
        <v>1299</v>
      </c>
      <c r="D685" s="1" t="str">
        <f t="shared" si="30"/>
        <v>Moscow</v>
      </c>
      <c r="E685" s="1" t="str">
        <f>IFERROR(INDEX(Census_Metro_List!$A:$A,MATCH(D685&amp;"*",Census_Metro_List!$A:$A,0)),"No Match")</f>
        <v>No Match</v>
      </c>
      <c r="F685" s="1" t="str">
        <f t="shared" si="31"/>
        <v>ID</v>
      </c>
      <c r="G685" s="1" t="str">
        <f t="shared" si="32"/>
        <v>Review</v>
      </c>
    </row>
    <row r="686" spans="1:7" x14ac:dyDescent="0.35">
      <c r="A686" s="1" t="s">
        <v>1087</v>
      </c>
      <c r="B686" s="1"/>
      <c r="C686" s="1" t="s">
        <v>1299</v>
      </c>
      <c r="D686" s="1" t="str">
        <f t="shared" si="30"/>
        <v>Clewiston</v>
      </c>
      <c r="E686" s="1" t="str">
        <f>IFERROR(INDEX(Census_Metro_List!$A:$A,MATCH(D686&amp;"*",Census_Metro_List!$A:$A,0)),"No Match")</f>
        <v>No Match</v>
      </c>
      <c r="F686" s="1" t="str">
        <f t="shared" si="31"/>
        <v>FL</v>
      </c>
      <c r="G686" s="1" t="str">
        <f t="shared" si="32"/>
        <v>Review</v>
      </c>
    </row>
    <row r="687" spans="1:7" x14ac:dyDescent="0.35">
      <c r="A687" s="1" t="s">
        <v>1088</v>
      </c>
      <c r="B687" s="1"/>
      <c r="C687" s="1" t="s">
        <v>1299</v>
      </c>
      <c r="D687" s="1" t="str">
        <f t="shared" si="30"/>
        <v>Riverton</v>
      </c>
      <c r="E687" s="1" t="str">
        <f>IFERROR(INDEX(Census_Metro_List!$A:$A,MATCH(D687&amp;"*",Census_Metro_List!$A:$A,0)),"No Match")</f>
        <v>No Match</v>
      </c>
      <c r="F687" s="1" t="str">
        <f t="shared" si="31"/>
        <v>WY</v>
      </c>
      <c r="G687" s="1" t="str">
        <f t="shared" si="32"/>
        <v>Review</v>
      </c>
    </row>
    <row r="688" spans="1:7" x14ac:dyDescent="0.35">
      <c r="A688" s="1" t="s">
        <v>1089</v>
      </c>
      <c r="B688" s="1"/>
      <c r="C688" s="1" t="s">
        <v>1299</v>
      </c>
      <c r="D688" s="1" t="str">
        <f t="shared" si="30"/>
        <v>El Dorado</v>
      </c>
      <c r="E688" s="1" t="str">
        <f>IFERROR(INDEX(Census_Metro_List!$A:$A,MATCH(D688&amp;"*",Census_Metro_List!$A:$A,0)),"No Match")</f>
        <v>No Match</v>
      </c>
      <c r="F688" s="1" t="str">
        <f t="shared" si="31"/>
        <v>AR</v>
      </c>
      <c r="G688" s="1" t="str">
        <f t="shared" si="32"/>
        <v>Review</v>
      </c>
    </row>
    <row r="689" spans="1:7" x14ac:dyDescent="0.35">
      <c r="A689" s="1" t="s">
        <v>1090</v>
      </c>
      <c r="B689" s="1"/>
      <c r="C689" s="1" t="s">
        <v>1299</v>
      </c>
      <c r="D689" s="1" t="str">
        <f t="shared" si="30"/>
        <v>Selma</v>
      </c>
      <c r="E689" s="1" t="str">
        <f>IFERROR(INDEX(Census_Metro_List!$A:$A,MATCH(D689&amp;"*",Census_Metro_List!$A:$A,0)),"No Match")</f>
        <v>No Match</v>
      </c>
      <c r="F689" s="1" t="str">
        <f t="shared" si="31"/>
        <v>AL</v>
      </c>
      <c r="G689" s="1" t="str">
        <f t="shared" si="32"/>
        <v>Review</v>
      </c>
    </row>
    <row r="690" spans="1:7" x14ac:dyDescent="0.35">
      <c r="A690" s="1" t="s">
        <v>1091</v>
      </c>
      <c r="B690" s="1"/>
      <c r="C690" s="1" t="s">
        <v>1299</v>
      </c>
      <c r="D690" s="1" t="str">
        <f t="shared" si="30"/>
        <v>Pittsburg</v>
      </c>
      <c r="E690" s="1" t="str">
        <f>IFERROR(INDEX(Census_Metro_List!$A:$A,MATCH(D690&amp;"*",Census_Metro_List!$A:$A,0)),"No Match")</f>
        <v>Pittsburgh, PA Metro Area</v>
      </c>
      <c r="F690" s="1" t="str">
        <f t="shared" si="31"/>
        <v>KS</v>
      </c>
      <c r="G690" s="1" t="str">
        <f t="shared" si="32"/>
        <v>Review</v>
      </c>
    </row>
    <row r="691" spans="1:7" x14ac:dyDescent="0.35">
      <c r="A691" s="1" t="s">
        <v>1092</v>
      </c>
      <c r="B691" s="1"/>
      <c r="C691" s="1" t="s">
        <v>1299</v>
      </c>
      <c r="D691" s="1" t="str">
        <f t="shared" si="30"/>
        <v>Hannibal</v>
      </c>
      <c r="E691" s="1" t="str">
        <f>IFERROR(INDEX(Census_Metro_List!$A:$A,MATCH(D691&amp;"*",Census_Metro_List!$A:$A,0)),"No Match")</f>
        <v>No Match</v>
      </c>
      <c r="F691" s="1" t="str">
        <f t="shared" si="31"/>
        <v>MO</v>
      </c>
      <c r="G691" s="1" t="str">
        <f t="shared" si="32"/>
        <v>Review</v>
      </c>
    </row>
    <row r="692" spans="1:7" x14ac:dyDescent="0.35">
      <c r="A692" s="1" t="s">
        <v>1093</v>
      </c>
      <c r="B692" s="1"/>
      <c r="C692" s="1" t="s">
        <v>1299</v>
      </c>
      <c r="D692" s="1" t="str">
        <f t="shared" si="30"/>
        <v>Warren</v>
      </c>
      <c r="E692" s="1" t="str">
        <f>IFERROR(INDEX(Census_Metro_List!$A:$A,MATCH(D692&amp;"*",Census_Metro_List!$A:$A,0)),"No Match")</f>
        <v>No Match</v>
      </c>
      <c r="F692" s="1" t="str">
        <f t="shared" si="31"/>
        <v>PA</v>
      </c>
      <c r="G692" s="1" t="str">
        <f t="shared" si="32"/>
        <v>Review</v>
      </c>
    </row>
    <row r="693" spans="1:7" x14ac:dyDescent="0.35">
      <c r="A693" s="1" t="s">
        <v>1094</v>
      </c>
      <c r="B693" s="1"/>
      <c r="C693" s="1" t="s">
        <v>1299</v>
      </c>
      <c r="D693" s="1" t="str">
        <f t="shared" si="30"/>
        <v>Alexandria</v>
      </c>
      <c r="E693" s="1" t="str">
        <f>IFERROR(INDEX(Census_Metro_List!$A:$A,MATCH(D693&amp;"*",Census_Metro_List!$A:$A,0)),"No Match")</f>
        <v>Alexandria, LA Metro Area</v>
      </c>
      <c r="F693" s="1" t="str">
        <f t="shared" si="31"/>
        <v>MN</v>
      </c>
      <c r="G693" s="1" t="str">
        <f t="shared" si="32"/>
        <v>Review</v>
      </c>
    </row>
    <row r="694" spans="1:7" x14ac:dyDescent="0.35">
      <c r="A694" s="1" t="s">
        <v>1095</v>
      </c>
      <c r="B694" s="1"/>
      <c r="C694" s="1" t="s">
        <v>1299</v>
      </c>
      <c r="D694" s="1" t="str">
        <f t="shared" si="30"/>
        <v>Urbana</v>
      </c>
      <c r="E694" s="1" t="str">
        <f>IFERROR(INDEX(Census_Metro_List!$A:$A,MATCH(D694&amp;"*",Census_Metro_List!$A:$A,0)),"No Match")</f>
        <v>No Match</v>
      </c>
      <c r="F694" s="1" t="str">
        <f t="shared" si="31"/>
        <v>OH</v>
      </c>
      <c r="G694" s="1" t="str">
        <f t="shared" si="32"/>
        <v>Review</v>
      </c>
    </row>
    <row r="695" spans="1:7" x14ac:dyDescent="0.35">
      <c r="A695" s="1" t="s">
        <v>1096</v>
      </c>
      <c r="B695" s="1"/>
      <c r="C695" s="1" t="s">
        <v>1299</v>
      </c>
      <c r="D695" s="1" t="str">
        <f t="shared" si="30"/>
        <v>Greenwood</v>
      </c>
      <c r="E695" s="1" t="str">
        <f>IFERROR(INDEX(Census_Metro_List!$A:$A,MATCH(D695&amp;"*",Census_Metro_List!$A:$A,0)),"No Match")</f>
        <v>No Match</v>
      </c>
      <c r="F695" s="1" t="str">
        <f t="shared" si="31"/>
        <v>MS</v>
      </c>
      <c r="G695" s="1" t="str">
        <f t="shared" si="32"/>
        <v>Review</v>
      </c>
    </row>
    <row r="696" spans="1:7" x14ac:dyDescent="0.35">
      <c r="A696" s="1" t="s">
        <v>1097</v>
      </c>
      <c r="B696" s="1"/>
      <c r="C696" s="1" t="s">
        <v>1299</v>
      </c>
      <c r="D696" s="1" t="str">
        <f t="shared" si="30"/>
        <v>Cambridge</v>
      </c>
      <c r="E696" s="1" t="str">
        <f>IFERROR(INDEX(Census_Metro_List!$A:$A,MATCH(D696&amp;"*",Census_Metro_List!$A:$A,0)),"No Match")</f>
        <v>No Match</v>
      </c>
      <c r="F696" s="1" t="str">
        <f t="shared" si="31"/>
        <v>OH</v>
      </c>
      <c r="G696" s="1" t="str">
        <f t="shared" si="32"/>
        <v>Review</v>
      </c>
    </row>
    <row r="697" spans="1:7" x14ac:dyDescent="0.35">
      <c r="A697" s="1" t="s">
        <v>1098</v>
      </c>
      <c r="B697" s="1"/>
      <c r="C697" s="1" t="s">
        <v>1299</v>
      </c>
      <c r="D697" s="1" t="str">
        <f t="shared" si="30"/>
        <v>Williston</v>
      </c>
      <c r="E697" s="1" t="str">
        <f>IFERROR(INDEX(Census_Metro_List!$A:$A,MATCH(D697&amp;"*",Census_Metro_List!$A:$A,0)),"No Match")</f>
        <v>No Match</v>
      </c>
      <c r="F697" s="1" t="str">
        <f t="shared" si="31"/>
        <v>ND</v>
      </c>
      <c r="G697" s="1" t="str">
        <f t="shared" si="32"/>
        <v>Review</v>
      </c>
    </row>
    <row r="698" spans="1:7" x14ac:dyDescent="0.35">
      <c r="A698" s="1" t="s">
        <v>1099</v>
      </c>
      <c r="B698" s="1"/>
      <c r="C698" s="1" t="s">
        <v>1299</v>
      </c>
      <c r="D698" s="1" t="str">
        <f t="shared" si="30"/>
        <v>Defiance</v>
      </c>
      <c r="E698" s="1" t="str">
        <f>IFERROR(INDEX(Census_Metro_List!$A:$A,MATCH(D698&amp;"*",Census_Metro_List!$A:$A,0)),"No Match")</f>
        <v>No Match</v>
      </c>
      <c r="F698" s="1" t="str">
        <f t="shared" si="31"/>
        <v>OH</v>
      </c>
      <c r="G698" s="1" t="str">
        <f t="shared" si="32"/>
        <v>Review</v>
      </c>
    </row>
    <row r="699" spans="1:7" x14ac:dyDescent="0.35">
      <c r="A699" s="1" t="s">
        <v>1100</v>
      </c>
      <c r="B699" s="1"/>
      <c r="C699" s="1" t="s">
        <v>1299</v>
      </c>
      <c r="D699" s="1" t="str">
        <f t="shared" si="30"/>
        <v>Sikeston</v>
      </c>
      <c r="E699" s="1" t="str">
        <f>IFERROR(INDEX(Census_Metro_List!$A:$A,MATCH(D699&amp;"*",Census_Metro_List!$A:$A,0)),"No Match")</f>
        <v>No Match</v>
      </c>
      <c r="F699" s="1" t="str">
        <f t="shared" si="31"/>
        <v>MO</v>
      </c>
      <c r="G699" s="1" t="str">
        <f t="shared" si="32"/>
        <v>Review</v>
      </c>
    </row>
    <row r="700" spans="1:7" x14ac:dyDescent="0.35">
      <c r="A700" s="1" t="s">
        <v>1101</v>
      </c>
      <c r="B700" s="1"/>
      <c r="C700" s="1" t="s">
        <v>1299</v>
      </c>
      <c r="D700" s="1" t="str">
        <f t="shared" si="30"/>
        <v>Safford</v>
      </c>
      <c r="E700" s="1" t="str">
        <f>IFERROR(INDEX(Census_Metro_List!$A:$A,MATCH(D700&amp;"*",Census_Metro_List!$A:$A,0)),"No Match")</f>
        <v>No Match</v>
      </c>
      <c r="F700" s="1" t="str">
        <f t="shared" si="31"/>
        <v>AZ</v>
      </c>
      <c r="G700" s="1" t="str">
        <f t="shared" si="32"/>
        <v>Review</v>
      </c>
    </row>
    <row r="701" spans="1:7" hidden="1" x14ac:dyDescent="0.35">
      <c r="A701" s="1" t="s">
        <v>1102</v>
      </c>
      <c r="B701" s="1"/>
      <c r="C701" s="1" t="s">
        <v>1299</v>
      </c>
      <c r="D701" s="1" t="str">
        <f t="shared" si="30"/>
        <v>Jacksonville</v>
      </c>
      <c r="E701" s="1" t="str">
        <f>IFERROR(INDEX(Census_Metro_List!$A:$A,MATCH(D701&amp;"*",Census_Metro_List!$A:$A,0)),"No Match")</f>
        <v>Jacksonville, FL Metro Area</v>
      </c>
      <c r="F701" s="1" t="str">
        <f t="shared" si="31"/>
        <v>IL</v>
      </c>
      <c r="G701" s="1" t="str">
        <f t="shared" si="32"/>
        <v>Likely Match</v>
      </c>
    </row>
    <row r="702" spans="1:7" x14ac:dyDescent="0.35">
      <c r="A702" s="1" t="s">
        <v>1103</v>
      </c>
      <c r="B702" s="1"/>
      <c r="C702" s="1" t="s">
        <v>1299</v>
      </c>
      <c r="D702" s="1" t="str">
        <f t="shared" si="30"/>
        <v>Ada</v>
      </c>
      <c r="E702" s="1" t="str">
        <f>IFERROR(INDEX(Census_Metro_List!$A:$A,MATCH(D702&amp;"*",Census_Metro_List!$A:$A,0)),"No Match")</f>
        <v>No Match</v>
      </c>
      <c r="F702" s="1" t="str">
        <f t="shared" si="31"/>
        <v>OK</v>
      </c>
      <c r="G702" s="1" t="str">
        <f t="shared" si="32"/>
        <v>Review</v>
      </c>
    </row>
    <row r="703" spans="1:7" x14ac:dyDescent="0.35">
      <c r="A703" s="1" t="s">
        <v>1104</v>
      </c>
      <c r="B703" s="1"/>
      <c r="C703" s="1" t="s">
        <v>1299</v>
      </c>
      <c r="D703" s="1" t="str">
        <f t="shared" si="30"/>
        <v>Brownwood</v>
      </c>
      <c r="E703" s="1" t="str">
        <f>IFERROR(INDEX(Census_Metro_List!$A:$A,MATCH(D703&amp;"*",Census_Metro_List!$A:$A,0)),"No Match")</f>
        <v>No Match</v>
      </c>
      <c r="F703" s="1" t="str">
        <f t="shared" si="31"/>
        <v>TX</v>
      </c>
      <c r="G703" s="1" t="str">
        <f t="shared" si="32"/>
        <v>Review</v>
      </c>
    </row>
    <row r="704" spans="1:7" x14ac:dyDescent="0.35">
      <c r="A704" s="1" t="s">
        <v>1105</v>
      </c>
      <c r="B704" s="1"/>
      <c r="C704" s="1" t="s">
        <v>1299</v>
      </c>
      <c r="D704" s="1" t="str">
        <f t="shared" si="30"/>
        <v>Crawfordsville</v>
      </c>
      <c r="E704" s="1" t="str">
        <f>IFERROR(INDEX(Census_Metro_List!$A:$A,MATCH(D704&amp;"*",Census_Metro_List!$A:$A,0)),"No Match")</f>
        <v>No Match</v>
      </c>
      <c r="F704" s="1" t="str">
        <f t="shared" si="31"/>
        <v>IN</v>
      </c>
      <c r="G704" s="1" t="str">
        <f t="shared" si="32"/>
        <v>Review</v>
      </c>
    </row>
    <row r="705" spans="1:7" x14ac:dyDescent="0.35">
      <c r="A705" s="1" t="s">
        <v>1106</v>
      </c>
      <c r="B705" s="1"/>
      <c r="C705" s="1" t="s">
        <v>1299</v>
      </c>
      <c r="D705" s="1" t="str">
        <f t="shared" si="30"/>
        <v>Logansport</v>
      </c>
      <c r="E705" s="1" t="str">
        <f>IFERROR(INDEX(Census_Metro_List!$A:$A,MATCH(D705&amp;"*",Census_Metro_List!$A:$A,0)),"No Match")</f>
        <v>No Match</v>
      </c>
      <c r="F705" s="1" t="str">
        <f t="shared" si="31"/>
        <v>IN</v>
      </c>
      <c r="G705" s="1" t="str">
        <f t="shared" si="32"/>
        <v>Review</v>
      </c>
    </row>
    <row r="706" spans="1:7" x14ac:dyDescent="0.35">
      <c r="A706" s="1" t="s">
        <v>1107</v>
      </c>
      <c r="B706" s="1"/>
      <c r="C706" s="1" t="s">
        <v>1299</v>
      </c>
      <c r="D706" s="1" t="str">
        <f t="shared" ref="D706:D769" si="33">LEFT(A706,FIND(",",A706)-1)</f>
        <v>Scottsbluff</v>
      </c>
      <c r="E706" s="1" t="str">
        <f>IFERROR(INDEX(Census_Metro_List!$A:$A,MATCH(D706&amp;"*",Census_Metro_List!$A:$A,0)),"No Match")</f>
        <v>No Match</v>
      </c>
      <c r="F706" s="1" t="str">
        <f t="shared" ref="F706:F769" si="34">TRIM(RIGHT(A706,LEN(A706)-FIND(",",A706)))</f>
        <v>NE</v>
      </c>
      <c r="G706" s="1" t="str">
        <f t="shared" ref="G706:G769" si="35">IF(E706="No Match","Review",IF(ISNUMBER(SEARCH(F706,E706)),"Likely Match","Review"))</f>
        <v>Review</v>
      </c>
    </row>
    <row r="707" spans="1:7" x14ac:dyDescent="0.35">
      <c r="A707" s="1" t="s">
        <v>1108</v>
      </c>
      <c r="B707" s="1"/>
      <c r="C707" s="1" t="s">
        <v>1299</v>
      </c>
      <c r="D707" s="1" t="str">
        <f t="shared" si="33"/>
        <v>Natchitoches</v>
      </c>
      <c r="E707" s="1" t="str">
        <f>IFERROR(INDEX(Census_Metro_List!$A:$A,MATCH(D707&amp;"*",Census_Metro_List!$A:$A,0)),"No Match")</f>
        <v>No Match</v>
      </c>
      <c r="F707" s="1" t="str">
        <f t="shared" si="34"/>
        <v>LA</v>
      </c>
      <c r="G707" s="1" t="str">
        <f t="shared" si="35"/>
        <v>Review</v>
      </c>
    </row>
    <row r="708" spans="1:7" x14ac:dyDescent="0.35">
      <c r="A708" s="1" t="s">
        <v>1109</v>
      </c>
      <c r="B708" s="1"/>
      <c r="C708" s="1" t="s">
        <v>1299</v>
      </c>
      <c r="D708" s="1" t="str">
        <f t="shared" si="33"/>
        <v>Newberry</v>
      </c>
      <c r="E708" s="1" t="str">
        <f>IFERROR(INDEX(Census_Metro_List!$A:$A,MATCH(D708&amp;"*",Census_Metro_List!$A:$A,0)),"No Match")</f>
        <v>No Match</v>
      </c>
      <c r="F708" s="1" t="str">
        <f t="shared" si="34"/>
        <v>SC</v>
      </c>
      <c r="G708" s="1" t="str">
        <f t="shared" si="35"/>
        <v>Review</v>
      </c>
    </row>
    <row r="709" spans="1:7" x14ac:dyDescent="0.35">
      <c r="A709" s="1" t="s">
        <v>1110</v>
      </c>
      <c r="B709" s="1"/>
      <c r="C709" s="1" t="s">
        <v>1299</v>
      </c>
      <c r="D709" s="1" t="str">
        <f t="shared" si="33"/>
        <v>Lock Haven</v>
      </c>
      <c r="E709" s="1" t="str">
        <f>IFERROR(INDEX(Census_Metro_List!$A:$A,MATCH(D709&amp;"*",Census_Metro_List!$A:$A,0)),"No Match")</f>
        <v>No Match</v>
      </c>
      <c r="F709" s="1" t="str">
        <f t="shared" si="34"/>
        <v>PA</v>
      </c>
      <c r="G709" s="1" t="str">
        <f t="shared" si="35"/>
        <v>Review</v>
      </c>
    </row>
    <row r="710" spans="1:7" x14ac:dyDescent="0.35">
      <c r="A710" s="1" t="s">
        <v>1111</v>
      </c>
      <c r="B710" s="1"/>
      <c r="C710" s="1" t="s">
        <v>1299</v>
      </c>
      <c r="D710" s="1" t="str">
        <f t="shared" si="33"/>
        <v>Centralia</v>
      </c>
      <c r="E710" s="1" t="str">
        <f>IFERROR(INDEX(Census_Metro_List!$A:$A,MATCH(D710&amp;"*",Census_Metro_List!$A:$A,0)),"No Match")</f>
        <v>No Match</v>
      </c>
      <c r="F710" s="1" t="str">
        <f t="shared" si="34"/>
        <v>IL</v>
      </c>
      <c r="G710" s="1" t="str">
        <f t="shared" si="35"/>
        <v>Review</v>
      </c>
    </row>
    <row r="711" spans="1:7" x14ac:dyDescent="0.35">
      <c r="A711" s="1" t="s">
        <v>1112</v>
      </c>
      <c r="B711" s="1"/>
      <c r="C711" s="1" t="s">
        <v>1299</v>
      </c>
      <c r="D711" s="1" t="str">
        <f t="shared" si="33"/>
        <v>Easton</v>
      </c>
      <c r="E711" s="1" t="str">
        <f>IFERROR(INDEX(Census_Metro_List!$A:$A,MATCH(D711&amp;"*",Census_Metro_List!$A:$A,0)),"No Match")</f>
        <v>No Match</v>
      </c>
      <c r="F711" s="1" t="str">
        <f t="shared" si="34"/>
        <v>MD</v>
      </c>
      <c r="G711" s="1" t="str">
        <f t="shared" si="35"/>
        <v>Review</v>
      </c>
    </row>
    <row r="712" spans="1:7" x14ac:dyDescent="0.35">
      <c r="A712" s="1" t="s">
        <v>1113</v>
      </c>
      <c r="B712" s="1"/>
      <c r="C712" s="1" t="s">
        <v>1299</v>
      </c>
      <c r="D712" s="1" t="str">
        <f t="shared" si="33"/>
        <v>Owatonna</v>
      </c>
      <c r="E712" s="1" t="str">
        <f>IFERROR(INDEX(Census_Metro_List!$A:$A,MATCH(D712&amp;"*",Census_Metro_List!$A:$A,0)),"No Match")</f>
        <v>No Match</v>
      </c>
      <c r="F712" s="1" t="str">
        <f t="shared" si="34"/>
        <v>MN</v>
      </c>
      <c r="G712" s="1" t="str">
        <f t="shared" si="35"/>
        <v>Review</v>
      </c>
    </row>
    <row r="713" spans="1:7" x14ac:dyDescent="0.35">
      <c r="A713" s="1" t="s">
        <v>1114</v>
      </c>
      <c r="B713" s="1"/>
      <c r="C713" s="1" t="s">
        <v>1299</v>
      </c>
      <c r="D713" s="1" t="str">
        <f t="shared" si="33"/>
        <v>Mount Vernon</v>
      </c>
      <c r="E713" s="1" t="str">
        <f>IFERROR(INDEX(Census_Metro_List!$A:$A,MATCH(D713&amp;"*",Census_Metro_List!$A:$A,0)),"No Match")</f>
        <v>Mount Vernon-Anacortes, WA Metro Area</v>
      </c>
      <c r="F713" s="1" t="str">
        <f t="shared" si="34"/>
        <v>IL</v>
      </c>
      <c r="G713" s="1" t="str">
        <f t="shared" si="35"/>
        <v>Review</v>
      </c>
    </row>
    <row r="714" spans="1:7" x14ac:dyDescent="0.35">
      <c r="A714" s="1" t="s">
        <v>1115</v>
      </c>
      <c r="B714" s="1"/>
      <c r="C714" s="1" t="s">
        <v>1299</v>
      </c>
      <c r="D714" s="1" t="str">
        <f t="shared" si="33"/>
        <v>Laramie</v>
      </c>
      <c r="E714" s="1" t="str">
        <f>IFERROR(INDEX(Census_Metro_List!$A:$A,MATCH(D714&amp;"*",Census_Metro_List!$A:$A,0)),"No Match")</f>
        <v>No Match</v>
      </c>
      <c r="F714" s="1" t="str">
        <f t="shared" si="34"/>
        <v>WY</v>
      </c>
      <c r="G714" s="1" t="str">
        <f t="shared" si="35"/>
        <v>Review</v>
      </c>
    </row>
    <row r="715" spans="1:7" x14ac:dyDescent="0.35">
      <c r="A715" s="1" t="s">
        <v>1116</v>
      </c>
      <c r="B715" s="1"/>
      <c r="C715" s="1" t="s">
        <v>1299</v>
      </c>
      <c r="D715" s="1" t="str">
        <f t="shared" si="33"/>
        <v>Murray</v>
      </c>
      <c r="E715" s="1" t="str">
        <f>IFERROR(INDEX(Census_Metro_List!$A:$A,MATCH(D715&amp;"*",Census_Metro_List!$A:$A,0)),"No Match")</f>
        <v>No Match</v>
      </c>
      <c r="F715" s="1" t="str">
        <f t="shared" si="34"/>
        <v>KY</v>
      </c>
      <c r="G715" s="1" t="str">
        <f t="shared" si="35"/>
        <v>Review</v>
      </c>
    </row>
    <row r="716" spans="1:7" x14ac:dyDescent="0.35">
      <c r="A716" s="1" t="s">
        <v>1117</v>
      </c>
      <c r="B716" s="1"/>
      <c r="C716" s="1" t="s">
        <v>1299</v>
      </c>
      <c r="D716" s="1" t="str">
        <f t="shared" si="33"/>
        <v>Fremont</v>
      </c>
      <c r="E716" s="1" t="str">
        <f>IFERROR(INDEX(Census_Metro_List!$A:$A,MATCH(D716&amp;"*",Census_Metro_List!$A:$A,0)),"No Match")</f>
        <v>No Match</v>
      </c>
      <c r="F716" s="1" t="str">
        <f t="shared" si="34"/>
        <v>NE</v>
      </c>
      <c r="G716" s="1" t="str">
        <f t="shared" si="35"/>
        <v>Review</v>
      </c>
    </row>
    <row r="717" spans="1:7" x14ac:dyDescent="0.35">
      <c r="A717" s="1" t="s">
        <v>1118</v>
      </c>
      <c r="B717" s="1"/>
      <c r="C717" s="1" t="s">
        <v>1299</v>
      </c>
      <c r="D717" s="1" t="str">
        <f t="shared" si="33"/>
        <v>Bennington</v>
      </c>
      <c r="E717" s="1" t="str">
        <f>IFERROR(INDEX(Census_Metro_List!$A:$A,MATCH(D717&amp;"*",Census_Metro_List!$A:$A,0)),"No Match")</f>
        <v>No Match</v>
      </c>
      <c r="F717" s="1" t="str">
        <f t="shared" si="34"/>
        <v>VT</v>
      </c>
      <c r="G717" s="1" t="str">
        <f t="shared" si="35"/>
        <v>Review</v>
      </c>
    </row>
    <row r="718" spans="1:7" x14ac:dyDescent="0.35">
      <c r="A718" s="1" t="s">
        <v>1119</v>
      </c>
      <c r="B718" s="1"/>
      <c r="C718" s="1" t="s">
        <v>1299</v>
      </c>
      <c r="D718" s="1" t="str">
        <f t="shared" si="33"/>
        <v>Sault Ste. Marie</v>
      </c>
      <c r="E718" s="1" t="str">
        <f>IFERROR(INDEX(Census_Metro_List!$A:$A,MATCH(D718&amp;"*",Census_Metro_List!$A:$A,0)),"No Match")</f>
        <v>No Match</v>
      </c>
      <c r="F718" s="1" t="str">
        <f t="shared" si="34"/>
        <v>MI</v>
      </c>
      <c r="G718" s="1" t="str">
        <f t="shared" si="35"/>
        <v>Review</v>
      </c>
    </row>
    <row r="719" spans="1:7" x14ac:dyDescent="0.35">
      <c r="A719" s="1" t="s">
        <v>1120</v>
      </c>
      <c r="B719" s="1"/>
      <c r="C719" s="1" t="s">
        <v>1299</v>
      </c>
      <c r="D719" s="1" t="str">
        <f t="shared" si="33"/>
        <v>Campbellsville</v>
      </c>
      <c r="E719" s="1" t="str">
        <f>IFERROR(INDEX(Census_Metro_List!$A:$A,MATCH(D719&amp;"*",Census_Metro_List!$A:$A,0)),"No Match")</f>
        <v>No Match</v>
      </c>
      <c r="F719" s="1" t="str">
        <f t="shared" si="34"/>
        <v>KY</v>
      </c>
      <c r="G719" s="1" t="str">
        <f t="shared" si="35"/>
        <v>Review</v>
      </c>
    </row>
    <row r="720" spans="1:7" x14ac:dyDescent="0.35">
      <c r="A720" s="1" t="s">
        <v>1121</v>
      </c>
      <c r="B720" s="1"/>
      <c r="C720" s="1" t="s">
        <v>1299</v>
      </c>
      <c r="D720" s="1" t="str">
        <f t="shared" si="33"/>
        <v>Dyersburg</v>
      </c>
      <c r="E720" s="1" t="str">
        <f>IFERROR(INDEX(Census_Metro_List!$A:$A,MATCH(D720&amp;"*",Census_Metro_List!$A:$A,0)),"No Match")</f>
        <v>No Match</v>
      </c>
      <c r="F720" s="1" t="str">
        <f t="shared" si="34"/>
        <v>TN</v>
      </c>
      <c r="G720" s="1" t="str">
        <f t="shared" si="35"/>
        <v>Review</v>
      </c>
    </row>
    <row r="721" spans="1:7" x14ac:dyDescent="0.35">
      <c r="A721" s="1" t="s">
        <v>1122</v>
      </c>
      <c r="B721" s="1"/>
      <c r="C721" s="1" t="s">
        <v>1299</v>
      </c>
      <c r="D721" s="1" t="str">
        <f t="shared" si="33"/>
        <v>Escanaba</v>
      </c>
      <c r="E721" s="1" t="str">
        <f>IFERROR(INDEX(Census_Metro_List!$A:$A,MATCH(D721&amp;"*",Census_Metro_List!$A:$A,0)),"No Match")</f>
        <v>No Match</v>
      </c>
      <c r="F721" s="1" t="str">
        <f t="shared" si="34"/>
        <v>MI</v>
      </c>
      <c r="G721" s="1" t="str">
        <f t="shared" si="35"/>
        <v>Review</v>
      </c>
    </row>
    <row r="722" spans="1:7" x14ac:dyDescent="0.35">
      <c r="A722" s="1" t="s">
        <v>1123</v>
      </c>
      <c r="B722" s="1"/>
      <c r="C722" s="1" t="s">
        <v>1299</v>
      </c>
      <c r="D722" s="1" t="str">
        <f t="shared" si="33"/>
        <v>Mayfield</v>
      </c>
      <c r="E722" s="1" t="str">
        <f>IFERROR(INDEX(Census_Metro_List!$A:$A,MATCH(D722&amp;"*",Census_Metro_List!$A:$A,0)),"No Match")</f>
        <v>No Match</v>
      </c>
      <c r="F722" s="1" t="str">
        <f t="shared" si="34"/>
        <v>KY</v>
      </c>
      <c r="G722" s="1" t="str">
        <f t="shared" si="35"/>
        <v>Review</v>
      </c>
    </row>
    <row r="723" spans="1:7" x14ac:dyDescent="0.35">
      <c r="A723" s="1" t="s">
        <v>1124</v>
      </c>
      <c r="B723" s="1"/>
      <c r="C723" s="1" t="s">
        <v>1299</v>
      </c>
      <c r="D723" s="1" t="str">
        <f t="shared" si="33"/>
        <v>Kill Devil Hills</v>
      </c>
      <c r="E723" s="1" t="str">
        <f>IFERROR(INDEX(Census_Metro_List!$A:$A,MATCH(D723&amp;"*",Census_Metro_List!$A:$A,0)),"No Match")</f>
        <v>No Match</v>
      </c>
      <c r="F723" s="1" t="str">
        <f t="shared" si="34"/>
        <v>NC</v>
      </c>
      <c r="G723" s="1" t="str">
        <f t="shared" si="35"/>
        <v>Review</v>
      </c>
    </row>
    <row r="724" spans="1:7" x14ac:dyDescent="0.35">
      <c r="A724" s="1" t="s">
        <v>1125</v>
      </c>
      <c r="B724" s="1"/>
      <c r="C724" s="1" t="s">
        <v>1299</v>
      </c>
      <c r="D724" s="1" t="str">
        <f t="shared" si="33"/>
        <v>Sulphur Springs</v>
      </c>
      <c r="E724" s="1" t="str">
        <f>IFERROR(INDEX(Census_Metro_List!$A:$A,MATCH(D724&amp;"*",Census_Metro_List!$A:$A,0)),"No Match")</f>
        <v>No Match</v>
      </c>
      <c r="F724" s="1" t="str">
        <f t="shared" si="34"/>
        <v>TX</v>
      </c>
      <c r="G724" s="1" t="str">
        <f t="shared" si="35"/>
        <v>Review</v>
      </c>
    </row>
    <row r="725" spans="1:7" x14ac:dyDescent="0.35">
      <c r="A725" s="1" t="s">
        <v>1126</v>
      </c>
      <c r="B725" s="1"/>
      <c r="C725" s="1" t="s">
        <v>1299</v>
      </c>
      <c r="D725" s="1" t="str">
        <f t="shared" si="33"/>
        <v>Hutchinson</v>
      </c>
      <c r="E725" s="1" t="str">
        <f>IFERROR(INDEX(Census_Metro_List!$A:$A,MATCH(D725&amp;"*",Census_Metro_List!$A:$A,0)),"No Match")</f>
        <v>No Match</v>
      </c>
      <c r="F725" s="1" t="str">
        <f t="shared" si="34"/>
        <v>MN</v>
      </c>
      <c r="G725" s="1" t="str">
        <f t="shared" si="35"/>
        <v>Review</v>
      </c>
    </row>
    <row r="726" spans="1:7" x14ac:dyDescent="0.35">
      <c r="A726" s="1" t="s">
        <v>1127</v>
      </c>
      <c r="B726" s="1"/>
      <c r="C726" s="1" t="s">
        <v>1299</v>
      </c>
      <c r="D726" s="1" t="str">
        <f t="shared" si="33"/>
        <v>Coshocton</v>
      </c>
      <c r="E726" s="1" t="str">
        <f>IFERROR(INDEX(Census_Metro_List!$A:$A,MATCH(D726&amp;"*",Census_Metro_List!$A:$A,0)),"No Match")</f>
        <v>No Match</v>
      </c>
      <c r="F726" s="1" t="str">
        <f t="shared" si="34"/>
        <v>OH</v>
      </c>
      <c r="G726" s="1" t="str">
        <f t="shared" si="35"/>
        <v>Review</v>
      </c>
    </row>
    <row r="727" spans="1:7" hidden="1" x14ac:dyDescent="0.35">
      <c r="A727" s="1" t="s">
        <v>1128</v>
      </c>
      <c r="B727" s="1"/>
      <c r="C727" s="1" t="s">
        <v>1299</v>
      </c>
      <c r="D727" s="1" t="str">
        <f t="shared" si="33"/>
        <v>Huntington</v>
      </c>
      <c r="E727" s="1" t="str">
        <f>IFERROR(INDEX(Census_Metro_List!$A:$A,MATCH(D727&amp;"*",Census_Metro_List!$A:$A,0)),"No Match")</f>
        <v>Huntington-Ashland, WV-KY-OH Metro Area</v>
      </c>
      <c r="F727" s="1" t="str">
        <f t="shared" si="34"/>
        <v>IN</v>
      </c>
      <c r="G727" s="1" t="str">
        <f t="shared" si="35"/>
        <v>Likely Match</v>
      </c>
    </row>
    <row r="728" spans="1:7" x14ac:dyDescent="0.35">
      <c r="A728" s="1" t="s">
        <v>1129</v>
      </c>
      <c r="B728" s="1"/>
      <c r="C728" s="1" t="s">
        <v>1299</v>
      </c>
      <c r="D728" s="1" t="str">
        <f t="shared" si="33"/>
        <v>DeRidder</v>
      </c>
      <c r="E728" s="1" t="str">
        <f>IFERROR(INDEX(Census_Metro_List!$A:$A,MATCH(D728&amp;"*",Census_Metro_List!$A:$A,0)),"No Match")</f>
        <v>No Match</v>
      </c>
      <c r="F728" s="1" t="str">
        <f t="shared" si="34"/>
        <v>LA</v>
      </c>
      <c r="G728" s="1" t="str">
        <f t="shared" si="35"/>
        <v>Review</v>
      </c>
    </row>
    <row r="729" spans="1:7" x14ac:dyDescent="0.35">
      <c r="A729" s="1" t="s">
        <v>1130</v>
      </c>
      <c r="B729" s="1"/>
      <c r="C729" s="1" t="s">
        <v>1299</v>
      </c>
      <c r="D729" s="1" t="str">
        <f t="shared" si="33"/>
        <v>Vincennes</v>
      </c>
      <c r="E729" s="1" t="str">
        <f>IFERROR(INDEX(Census_Metro_List!$A:$A,MATCH(D729&amp;"*",Census_Metro_List!$A:$A,0)),"No Match")</f>
        <v>No Match</v>
      </c>
      <c r="F729" s="1" t="str">
        <f t="shared" si="34"/>
        <v>IN</v>
      </c>
      <c r="G729" s="1" t="str">
        <f t="shared" si="35"/>
        <v>Review</v>
      </c>
    </row>
    <row r="730" spans="1:7" x14ac:dyDescent="0.35">
      <c r="A730" s="1" t="s">
        <v>1131</v>
      </c>
      <c r="B730" s="1"/>
      <c r="C730" s="1" t="s">
        <v>1299</v>
      </c>
      <c r="D730" s="1" t="str">
        <f t="shared" si="33"/>
        <v>Bay City</v>
      </c>
      <c r="E730" s="1" t="str">
        <f>IFERROR(INDEX(Census_Metro_List!$A:$A,MATCH(D730&amp;"*",Census_Metro_List!$A:$A,0)),"No Match")</f>
        <v>Bay City, MI Metro Area</v>
      </c>
      <c r="F730" s="1" t="str">
        <f t="shared" si="34"/>
        <v>TX</v>
      </c>
      <c r="G730" s="1" t="str">
        <f t="shared" si="35"/>
        <v>Review</v>
      </c>
    </row>
    <row r="731" spans="1:7" x14ac:dyDescent="0.35">
      <c r="A731" s="1" t="s">
        <v>1132</v>
      </c>
      <c r="B731" s="1"/>
      <c r="C731" s="1" t="s">
        <v>1299</v>
      </c>
      <c r="D731" s="1" t="str">
        <f t="shared" si="33"/>
        <v>North Platte</v>
      </c>
      <c r="E731" s="1" t="str">
        <f>IFERROR(INDEX(Census_Metro_List!$A:$A,MATCH(D731&amp;"*",Census_Metro_List!$A:$A,0)),"No Match")</f>
        <v>No Match</v>
      </c>
      <c r="F731" s="1" t="str">
        <f t="shared" si="34"/>
        <v>NE</v>
      </c>
      <c r="G731" s="1" t="str">
        <f t="shared" si="35"/>
        <v>Review</v>
      </c>
    </row>
    <row r="732" spans="1:7" x14ac:dyDescent="0.35">
      <c r="A732" s="1" t="s">
        <v>1133</v>
      </c>
      <c r="B732" s="1"/>
      <c r="C732" s="1" t="s">
        <v>1299</v>
      </c>
      <c r="D732" s="1" t="str">
        <f t="shared" si="33"/>
        <v>Peru</v>
      </c>
      <c r="E732" s="1" t="str">
        <f>IFERROR(INDEX(Census_Metro_List!$A:$A,MATCH(D732&amp;"*",Census_Metro_List!$A:$A,0)),"No Match")</f>
        <v>No Match</v>
      </c>
      <c r="F732" s="1" t="str">
        <f t="shared" si="34"/>
        <v>IN</v>
      </c>
      <c r="G732" s="1" t="str">
        <f t="shared" si="35"/>
        <v>Review</v>
      </c>
    </row>
    <row r="733" spans="1:7" x14ac:dyDescent="0.35">
      <c r="A733" s="1" t="s">
        <v>1134</v>
      </c>
      <c r="B733" s="1"/>
      <c r="C733" s="1" t="s">
        <v>1299</v>
      </c>
      <c r="D733" s="1" t="str">
        <f t="shared" si="33"/>
        <v>Pontiac</v>
      </c>
      <c r="E733" s="1" t="str">
        <f>IFERROR(INDEX(Census_Metro_List!$A:$A,MATCH(D733&amp;"*",Census_Metro_List!$A:$A,0)),"No Match")</f>
        <v>No Match</v>
      </c>
      <c r="F733" s="1" t="str">
        <f t="shared" si="34"/>
        <v>IL</v>
      </c>
      <c r="G733" s="1" t="str">
        <f t="shared" si="35"/>
        <v>Review</v>
      </c>
    </row>
    <row r="734" spans="1:7" x14ac:dyDescent="0.35">
      <c r="A734" s="1" t="s">
        <v>1135</v>
      </c>
      <c r="B734" s="1"/>
      <c r="C734" s="1" t="s">
        <v>1299</v>
      </c>
      <c r="D734" s="1" t="str">
        <f t="shared" si="33"/>
        <v>Lebanon</v>
      </c>
      <c r="E734" s="1" t="str">
        <f>IFERROR(INDEX(Census_Metro_List!$A:$A,MATCH(D734&amp;"*",Census_Metro_List!$A:$A,0)),"No Match")</f>
        <v>Lebanon, PA Metro Area</v>
      </c>
      <c r="F734" s="1" t="str">
        <f t="shared" si="34"/>
        <v>MO</v>
      </c>
      <c r="G734" s="1" t="str">
        <f t="shared" si="35"/>
        <v>Review</v>
      </c>
    </row>
    <row r="735" spans="1:7" x14ac:dyDescent="0.35">
      <c r="A735" s="1" t="s">
        <v>1136</v>
      </c>
      <c r="B735" s="1"/>
      <c r="C735" s="1" t="s">
        <v>1299</v>
      </c>
      <c r="D735" s="1" t="str">
        <f t="shared" si="33"/>
        <v>Newport</v>
      </c>
      <c r="E735" s="1" t="str">
        <f>IFERROR(INDEX(Census_Metro_List!$A:$A,MATCH(D735&amp;"*",Census_Metro_List!$A:$A,0)),"No Match")</f>
        <v>No Match</v>
      </c>
      <c r="F735" s="1" t="str">
        <f t="shared" si="34"/>
        <v>TN</v>
      </c>
      <c r="G735" s="1" t="str">
        <f t="shared" si="35"/>
        <v>Review</v>
      </c>
    </row>
    <row r="736" spans="1:7" x14ac:dyDescent="0.35">
      <c r="A736" s="1" t="s">
        <v>1137</v>
      </c>
      <c r="B736" s="1"/>
      <c r="C736" s="1" t="s">
        <v>1299</v>
      </c>
      <c r="D736" s="1" t="str">
        <f t="shared" si="33"/>
        <v>Decatur</v>
      </c>
      <c r="E736" s="1" t="str">
        <f>IFERROR(INDEX(Census_Metro_List!$A:$A,MATCH(D736&amp;"*",Census_Metro_List!$A:$A,0)),"No Match")</f>
        <v>Decatur, AL Metro Area</v>
      </c>
      <c r="F736" s="1" t="str">
        <f t="shared" si="34"/>
        <v>IN</v>
      </c>
      <c r="G736" s="1" t="str">
        <f t="shared" si="35"/>
        <v>Review</v>
      </c>
    </row>
    <row r="737" spans="1:7" x14ac:dyDescent="0.35">
      <c r="A737" s="1" t="s">
        <v>1138</v>
      </c>
      <c r="B737" s="1"/>
      <c r="C737" s="1" t="s">
        <v>1299</v>
      </c>
      <c r="D737" s="1" t="str">
        <f t="shared" si="33"/>
        <v>Vidalia</v>
      </c>
      <c r="E737" s="1" t="str">
        <f>IFERROR(INDEX(Census_Metro_List!$A:$A,MATCH(D737&amp;"*",Census_Metro_List!$A:$A,0)),"No Match")</f>
        <v>No Match</v>
      </c>
      <c r="F737" s="1" t="str">
        <f t="shared" si="34"/>
        <v>GA</v>
      </c>
      <c r="G737" s="1" t="str">
        <f t="shared" si="35"/>
        <v>Review</v>
      </c>
    </row>
    <row r="738" spans="1:7" x14ac:dyDescent="0.35">
      <c r="A738" s="1" t="s">
        <v>1139</v>
      </c>
      <c r="B738" s="1"/>
      <c r="C738" s="1" t="s">
        <v>1299</v>
      </c>
      <c r="D738" s="1" t="str">
        <f t="shared" si="33"/>
        <v>Brenham</v>
      </c>
      <c r="E738" s="1" t="str">
        <f>IFERROR(INDEX(Census_Metro_List!$A:$A,MATCH(D738&amp;"*",Census_Metro_List!$A:$A,0)),"No Match")</f>
        <v>No Match</v>
      </c>
      <c r="F738" s="1" t="str">
        <f t="shared" si="34"/>
        <v>TX</v>
      </c>
      <c r="G738" s="1" t="str">
        <f t="shared" si="35"/>
        <v>Review</v>
      </c>
    </row>
    <row r="739" spans="1:7" x14ac:dyDescent="0.35">
      <c r="A739" s="1" t="s">
        <v>1140</v>
      </c>
      <c r="B739" s="1"/>
      <c r="C739" s="1" t="s">
        <v>1299</v>
      </c>
      <c r="D739" s="1" t="str">
        <f t="shared" si="33"/>
        <v>Vernal</v>
      </c>
      <c r="E739" s="1" t="str">
        <f>IFERROR(INDEX(Census_Metro_List!$A:$A,MATCH(D739&amp;"*",Census_Metro_List!$A:$A,0)),"No Match")</f>
        <v>No Match</v>
      </c>
      <c r="F739" s="1" t="str">
        <f t="shared" si="34"/>
        <v>UT</v>
      </c>
      <c r="G739" s="1" t="str">
        <f t="shared" si="35"/>
        <v>Review</v>
      </c>
    </row>
    <row r="740" spans="1:7" x14ac:dyDescent="0.35">
      <c r="A740" s="1" t="s">
        <v>1141</v>
      </c>
      <c r="B740" s="1"/>
      <c r="C740" s="1" t="s">
        <v>1299</v>
      </c>
      <c r="D740" s="1" t="str">
        <f t="shared" si="33"/>
        <v>Ottumwa</v>
      </c>
      <c r="E740" s="1" t="str">
        <f>IFERROR(INDEX(Census_Metro_List!$A:$A,MATCH(D740&amp;"*",Census_Metro_List!$A:$A,0)),"No Match")</f>
        <v>No Match</v>
      </c>
      <c r="F740" s="1" t="str">
        <f t="shared" si="34"/>
        <v>IA</v>
      </c>
      <c r="G740" s="1" t="str">
        <f t="shared" si="35"/>
        <v>Review</v>
      </c>
    </row>
    <row r="741" spans="1:7" x14ac:dyDescent="0.35">
      <c r="A741" s="1" t="s">
        <v>1142</v>
      </c>
      <c r="B741" s="1"/>
      <c r="C741" s="1" t="s">
        <v>1299</v>
      </c>
      <c r="D741" s="1" t="str">
        <f t="shared" si="33"/>
        <v>Butte</v>
      </c>
      <c r="E741" s="1" t="str">
        <f>IFERROR(INDEX(Census_Metro_List!$A:$A,MATCH(D741&amp;"*",Census_Metro_List!$A:$A,0)),"No Match")</f>
        <v>No Match</v>
      </c>
      <c r="F741" s="1" t="str">
        <f t="shared" si="34"/>
        <v>MT</v>
      </c>
      <c r="G741" s="1" t="str">
        <f t="shared" si="35"/>
        <v>Review</v>
      </c>
    </row>
    <row r="742" spans="1:7" x14ac:dyDescent="0.35">
      <c r="A742" s="1" t="s">
        <v>1143</v>
      </c>
      <c r="B742" s="1"/>
      <c r="C742" s="1" t="s">
        <v>1299</v>
      </c>
      <c r="D742" s="1" t="str">
        <f t="shared" si="33"/>
        <v>Corinth</v>
      </c>
      <c r="E742" s="1" t="str">
        <f>IFERROR(INDEX(Census_Metro_List!$A:$A,MATCH(D742&amp;"*",Census_Metro_List!$A:$A,0)),"No Match")</f>
        <v>No Match</v>
      </c>
      <c r="F742" s="1" t="str">
        <f t="shared" si="34"/>
        <v>MS</v>
      </c>
      <c r="G742" s="1" t="str">
        <f t="shared" si="35"/>
        <v>Review</v>
      </c>
    </row>
    <row r="743" spans="1:7" x14ac:dyDescent="0.35">
      <c r="A743" s="1" t="s">
        <v>1144</v>
      </c>
      <c r="B743" s="1"/>
      <c r="C743" s="1" t="s">
        <v>1299</v>
      </c>
      <c r="D743" s="1" t="str">
        <f t="shared" si="33"/>
        <v>Brookhaven</v>
      </c>
      <c r="E743" s="1" t="str">
        <f>IFERROR(INDEX(Census_Metro_List!$A:$A,MATCH(D743&amp;"*",Census_Metro_List!$A:$A,0)),"No Match")</f>
        <v>No Match</v>
      </c>
      <c r="F743" s="1" t="str">
        <f t="shared" si="34"/>
        <v>MS</v>
      </c>
      <c r="G743" s="1" t="str">
        <f t="shared" si="35"/>
        <v>Review</v>
      </c>
    </row>
    <row r="744" spans="1:7" x14ac:dyDescent="0.35">
      <c r="A744" s="1" t="s">
        <v>1145</v>
      </c>
      <c r="B744" s="1"/>
      <c r="C744" s="1" t="s">
        <v>1299</v>
      </c>
      <c r="D744" s="1" t="str">
        <f t="shared" si="33"/>
        <v>Emporia</v>
      </c>
      <c r="E744" s="1" t="str">
        <f>IFERROR(INDEX(Census_Metro_List!$A:$A,MATCH(D744&amp;"*",Census_Metro_List!$A:$A,0)),"No Match")</f>
        <v>No Match</v>
      </c>
      <c r="F744" s="1" t="str">
        <f t="shared" si="34"/>
        <v>KS</v>
      </c>
      <c r="G744" s="1" t="str">
        <f t="shared" si="35"/>
        <v>Review</v>
      </c>
    </row>
    <row r="745" spans="1:7" x14ac:dyDescent="0.35">
      <c r="A745" s="1" t="s">
        <v>1146</v>
      </c>
      <c r="B745" s="1"/>
      <c r="C745" s="1" t="s">
        <v>1299</v>
      </c>
      <c r="D745" s="1" t="str">
        <f t="shared" si="33"/>
        <v>Jackson</v>
      </c>
      <c r="E745" s="1" t="str">
        <f>IFERROR(INDEX(Census_Metro_List!$A:$A,MATCH(D745&amp;"*",Census_Metro_List!$A:$A,0)),"No Match")</f>
        <v>Jackson, MI Metro Area</v>
      </c>
      <c r="F745" s="1" t="str">
        <f t="shared" si="34"/>
        <v>WY</v>
      </c>
      <c r="G745" s="1" t="str">
        <f t="shared" si="35"/>
        <v>Review</v>
      </c>
    </row>
    <row r="746" spans="1:7" x14ac:dyDescent="0.35">
      <c r="A746" s="1" t="s">
        <v>1147</v>
      </c>
      <c r="B746" s="1"/>
      <c r="C746" s="1" t="s">
        <v>1299</v>
      </c>
      <c r="D746" s="1" t="str">
        <f t="shared" si="33"/>
        <v>Big Spring</v>
      </c>
      <c r="E746" s="1" t="str">
        <f>IFERROR(INDEX(Census_Metro_List!$A:$A,MATCH(D746&amp;"*",Census_Metro_List!$A:$A,0)),"No Match")</f>
        <v>No Match</v>
      </c>
      <c r="F746" s="1" t="str">
        <f t="shared" si="34"/>
        <v>TX</v>
      </c>
      <c r="G746" s="1" t="str">
        <f t="shared" si="35"/>
        <v>Review</v>
      </c>
    </row>
    <row r="747" spans="1:7" x14ac:dyDescent="0.35">
      <c r="A747" s="1" t="s">
        <v>1148</v>
      </c>
      <c r="B747" s="1"/>
      <c r="C747" s="1" t="s">
        <v>1299</v>
      </c>
      <c r="D747" s="1" t="str">
        <f t="shared" si="33"/>
        <v>Effingham</v>
      </c>
      <c r="E747" s="1" t="str">
        <f>IFERROR(INDEX(Census_Metro_List!$A:$A,MATCH(D747&amp;"*",Census_Metro_List!$A:$A,0)),"No Match")</f>
        <v>No Match</v>
      </c>
      <c r="F747" s="1" t="str">
        <f t="shared" si="34"/>
        <v>IL</v>
      </c>
      <c r="G747" s="1" t="str">
        <f t="shared" si="35"/>
        <v>Review</v>
      </c>
    </row>
    <row r="748" spans="1:7" x14ac:dyDescent="0.35">
      <c r="A748" s="1" t="s">
        <v>1149</v>
      </c>
      <c r="B748" s="1"/>
      <c r="C748" s="1" t="s">
        <v>1299</v>
      </c>
      <c r="D748" s="1" t="str">
        <f t="shared" si="33"/>
        <v>Dodge City</v>
      </c>
      <c r="E748" s="1" t="str">
        <f>IFERROR(INDEX(Census_Metro_List!$A:$A,MATCH(D748&amp;"*",Census_Metro_List!$A:$A,0)),"No Match")</f>
        <v>No Match</v>
      </c>
      <c r="F748" s="1" t="str">
        <f t="shared" si="34"/>
        <v>KS</v>
      </c>
      <c r="G748" s="1" t="str">
        <f t="shared" si="35"/>
        <v>Review</v>
      </c>
    </row>
    <row r="749" spans="1:7" x14ac:dyDescent="0.35">
      <c r="A749" s="1" t="s">
        <v>1150</v>
      </c>
      <c r="B749" s="1"/>
      <c r="C749" s="1" t="s">
        <v>1299</v>
      </c>
      <c r="D749" s="1" t="str">
        <f t="shared" si="33"/>
        <v>Watertown</v>
      </c>
      <c r="E749" s="1" t="str">
        <f>IFERROR(INDEX(Census_Metro_List!$A:$A,MATCH(D749&amp;"*",Census_Metro_List!$A:$A,0)),"No Match")</f>
        <v>Watertown-Fort Drum, NY Metro Area</v>
      </c>
      <c r="F749" s="1" t="str">
        <f t="shared" si="34"/>
        <v>SD</v>
      </c>
      <c r="G749" s="1" t="str">
        <f t="shared" si="35"/>
        <v>Review</v>
      </c>
    </row>
    <row r="750" spans="1:7" x14ac:dyDescent="0.35">
      <c r="A750" s="1" t="s">
        <v>1151</v>
      </c>
      <c r="B750" s="1"/>
      <c r="C750" s="1" t="s">
        <v>1299</v>
      </c>
      <c r="D750" s="1" t="str">
        <f t="shared" si="33"/>
        <v>Angola</v>
      </c>
      <c r="E750" s="1" t="str">
        <f>IFERROR(INDEX(Census_Metro_List!$A:$A,MATCH(D750&amp;"*",Census_Metro_List!$A:$A,0)),"No Match")</f>
        <v>No Match</v>
      </c>
      <c r="F750" s="1" t="str">
        <f t="shared" si="34"/>
        <v>IN</v>
      </c>
      <c r="G750" s="1" t="str">
        <f t="shared" si="35"/>
        <v>Review</v>
      </c>
    </row>
    <row r="751" spans="1:7" x14ac:dyDescent="0.35">
      <c r="A751" s="1" t="s">
        <v>1152</v>
      </c>
      <c r="B751" s="1"/>
      <c r="C751" s="1" t="s">
        <v>1299</v>
      </c>
      <c r="D751" s="1" t="str">
        <f t="shared" si="33"/>
        <v>Dixon</v>
      </c>
      <c r="E751" s="1" t="str">
        <f>IFERROR(INDEX(Census_Metro_List!$A:$A,MATCH(D751&amp;"*",Census_Metro_List!$A:$A,0)),"No Match")</f>
        <v>No Match</v>
      </c>
      <c r="F751" s="1" t="str">
        <f t="shared" si="34"/>
        <v>IL</v>
      </c>
      <c r="G751" s="1" t="str">
        <f t="shared" si="35"/>
        <v>Review</v>
      </c>
    </row>
    <row r="752" spans="1:7" x14ac:dyDescent="0.35">
      <c r="A752" s="1" t="s">
        <v>1153</v>
      </c>
      <c r="B752" s="1"/>
      <c r="C752" s="1" t="s">
        <v>1299</v>
      </c>
      <c r="D752" s="1" t="str">
        <f t="shared" si="33"/>
        <v>Laurinburg</v>
      </c>
      <c r="E752" s="1" t="str">
        <f>IFERROR(INDEX(Census_Metro_List!$A:$A,MATCH(D752&amp;"*",Census_Metro_List!$A:$A,0)),"No Match")</f>
        <v>No Match</v>
      </c>
      <c r="F752" s="1" t="str">
        <f t="shared" si="34"/>
        <v>NC</v>
      </c>
      <c r="G752" s="1" t="str">
        <f t="shared" si="35"/>
        <v>Review</v>
      </c>
    </row>
    <row r="753" spans="1:7" x14ac:dyDescent="0.35">
      <c r="A753" s="1" t="s">
        <v>1154</v>
      </c>
      <c r="B753" s="1"/>
      <c r="C753" s="1" t="s">
        <v>1299</v>
      </c>
      <c r="D753" s="1" t="str">
        <f t="shared" si="33"/>
        <v>Taos</v>
      </c>
      <c r="E753" s="1" t="str">
        <f>IFERROR(INDEX(Census_Metro_List!$A:$A,MATCH(D753&amp;"*",Census_Metro_List!$A:$A,0)),"No Match")</f>
        <v>No Match</v>
      </c>
      <c r="F753" s="1" t="str">
        <f t="shared" si="34"/>
        <v>NM</v>
      </c>
      <c r="G753" s="1" t="str">
        <f t="shared" si="35"/>
        <v>Review</v>
      </c>
    </row>
    <row r="754" spans="1:7" x14ac:dyDescent="0.35">
      <c r="A754" s="1" t="s">
        <v>1155</v>
      </c>
      <c r="B754" s="1"/>
      <c r="C754" s="1" t="s">
        <v>1299</v>
      </c>
      <c r="D754" s="1" t="str">
        <f t="shared" si="33"/>
        <v>Brookings</v>
      </c>
      <c r="E754" s="1" t="str">
        <f>IFERROR(INDEX(Census_Metro_List!$A:$A,MATCH(D754&amp;"*",Census_Metro_List!$A:$A,0)),"No Match")</f>
        <v>No Match</v>
      </c>
      <c r="F754" s="1" t="str">
        <f t="shared" si="34"/>
        <v>SD</v>
      </c>
      <c r="G754" s="1" t="str">
        <f t="shared" si="35"/>
        <v>Review</v>
      </c>
    </row>
    <row r="755" spans="1:7" x14ac:dyDescent="0.35">
      <c r="A755" s="1" t="s">
        <v>1156</v>
      </c>
      <c r="B755" s="1"/>
      <c r="C755" s="1" t="s">
        <v>1299</v>
      </c>
      <c r="D755" s="1" t="str">
        <f t="shared" si="33"/>
        <v>Americus</v>
      </c>
      <c r="E755" s="1" t="str">
        <f>IFERROR(INDEX(Census_Metro_List!$A:$A,MATCH(D755&amp;"*",Census_Metro_List!$A:$A,0)),"No Match")</f>
        <v>No Match</v>
      </c>
      <c r="F755" s="1" t="str">
        <f t="shared" si="34"/>
        <v>GA</v>
      </c>
      <c r="G755" s="1" t="str">
        <f t="shared" si="35"/>
        <v>Review</v>
      </c>
    </row>
    <row r="756" spans="1:7" x14ac:dyDescent="0.35">
      <c r="A756" s="1" t="s">
        <v>1157</v>
      </c>
      <c r="B756" s="1"/>
      <c r="C756" s="1" t="s">
        <v>1299</v>
      </c>
      <c r="D756" s="1" t="str">
        <f t="shared" si="33"/>
        <v>Columbus</v>
      </c>
      <c r="E756" s="1" t="str">
        <f>IFERROR(INDEX(Census_Metro_List!$A:$A,MATCH(D756&amp;"*",Census_Metro_List!$A:$A,0)),"No Match")</f>
        <v>Columbus, GA-AL Metro Area</v>
      </c>
      <c r="F756" s="1" t="str">
        <f t="shared" si="34"/>
        <v>NE</v>
      </c>
      <c r="G756" s="1" t="str">
        <f t="shared" si="35"/>
        <v>Review</v>
      </c>
    </row>
    <row r="757" spans="1:7" x14ac:dyDescent="0.35">
      <c r="A757" s="1" t="s">
        <v>1158</v>
      </c>
      <c r="B757" s="1"/>
      <c r="C757" s="1" t="s">
        <v>1299</v>
      </c>
      <c r="D757" s="1" t="str">
        <f t="shared" si="33"/>
        <v>Taylorville</v>
      </c>
      <c r="E757" s="1" t="str">
        <f>IFERROR(INDEX(Census_Metro_List!$A:$A,MATCH(D757&amp;"*",Census_Metro_List!$A:$A,0)),"No Match")</f>
        <v>No Match</v>
      </c>
      <c r="F757" s="1" t="str">
        <f t="shared" si="34"/>
        <v>IL</v>
      </c>
      <c r="G757" s="1" t="str">
        <f t="shared" si="35"/>
        <v>Review</v>
      </c>
    </row>
    <row r="758" spans="1:7" x14ac:dyDescent="0.35">
      <c r="A758" s="1" t="s">
        <v>1159</v>
      </c>
      <c r="B758" s="1"/>
      <c r="C758" s="1" t="s">
        <v>1299</v>
      </c>
      <c r="D758" s="1" t="str">
        <f t="shared" si="33"/>
        <v>Arcadia</v>
      </c>
      <c r="E758" s="1" t="str">
        <f>IFERROR(INDEX(Census_Metro_List!$A:$A,MATCH(D758&amp;"*",Census_Metro_List!$A:$A,0)),"No Match")</f>
        <v>No Match</v>
      </c>
      <c r="F758" s="1" t="str">
        <f t="shared" si="34"/>
        <v>FL</v>
      </c>
      <c r="G758" s="1" t="str">
        <f t="shared" si="35"/>
        <v>Review</v>
      </c>
    </row>
    <row r="759" spans="1:7" x14ac:dyDescent="0.35">
      <c r="A759" s="1" t="s">
        <v>1160</v>
      </c>
      <c r="B759" s="1"/>
      <c r="C759" s="1" t="s">
        <v>1299</v>
      </c>
      <c r="D759" s="1" t="str">
        <f t="shared" si="33"/>
        <v>Lewisburg</v>
      </c>
      <c r="E759" s="1" t="str">
        <f>IFERROR(INDEX(Census_Metro_List!$A:$A,MATCH(D759&amp;"*",Census_Metro_List!$A:$A,0)),"No Match")</f>
        <v>No Match</v>
      </c>
      <c r="F759" s="1" t="str">
        <f t="shared" si="34"/>
        <v>TN</v>
      </c>
      <c r="G759" s="1" t="str">
        <f t="shared" si="35"/>
        <v>Review</v>
      </c>
    </row>
    <row r="760" spans="1:7" x14ac:dyDescent="0.35">
      <c r="A760" s="1" t="s">
        <v>1161</v>
      </c>
      <c r="B760" s="1"/>
      <c r="C760" s="1" t="s">
        <v>1299</v>
      </c>
      <c r="D760" s="1" t="str">
        <f t="shared" si="33"/>
        <v>Seneca Falls</v>
      </c>
      <c r="E760" s="1" t="str">
        <f>IFERROR(INDEX(Census_Metro_List!$A:$A,MATCH(D760&amp;"*",Census_Metro_List!$A:$A,0)),"No Match")</f>
        <v>No Match</v>
      </c>
      <c r="F760" s="1" t="str">
        <f t="shared" si="34"/>
        <v>NY</v>
      </c>
      <c r="G760" s="1" t="str">
        <f t="shared" si="35"/>
        <v>Review</v>
      </c>
    </row>
    <row r="761" spans="1:7" x14ac:dyDescent="0.35">
      <c r="A761" s="1" t="s">
        <v>1162</v>
      </c>
      <c r="B761" s="1"/>
      <c r="C761" s="1" t="s">
        <v>1299</v>
      </c>
      <c r="D761" s="1" t="str">
        <f t="shared" si="33"/>
        <v>Dickinson</v>
      </c>
      <c r="E761" s="1" t="str">
        <f>IFERROR(INDEX(Census_Metro_List!$A:$A,MATCH(D761&amp;"*",Census_Metro_List!$A:$A,0)),"No Match")</f>
        <v>No Match</v>
      </c>
      <c r="F761" s="1" t="str">
        <f t="shared" si="34"/>
        <v>ND</v>
      </c>
      <c r="G761" s="1" t="str">
        <f t="shared" si="35"/>
        <v>Review</v>
      </c>
    </row>
    <row r="762" spans="1:7" hidden="1" x14ac:dyDescent="0.35">
      <c r="A762" s="1" t="s">
        <v>1163</v>
      </c>
      <c r="B762" s="1"/>
      <c r="C762" s="1" t="s">
        <v>1299</v>
      </c>
      <c r="D762" s="1" t="str">
        <f t="shared" si="33"/>
        <v>Washington</v>
      </c>
      <c r="E762" s="1" t="str">
        <f>IFERROR(INDEX(Census_Metro_List!$A:$A,MATCH(D762&amp;"*",Census_Metro_List!$A:$A,0)),"No Match")</f>
        <v>Washington-Arlington-Alexandria, DC-VA-MD-WV Metro Area</v>
      </c>
      <c r="F762" s="1" t="str">
        <f t="shared" si="34"/>
        <v>IN</v>
      </c>
      <c r="G762" s="1" t="str">
        <f t="shared" si="35"/>
        <v>Likely Match</v>
      </c>
    </row>
    <row r="763" spans="1:7" x14ac:dyDescent="0.35">
      <c r="A763" s="1" t="s">
        <v>1164</v>
      </c>
      <c r="B763" s="1"/>
      <c r="C763" s="1" t="s">
        <v>1299</v>
      </c>
      <c r="D763" s="1" t="str">
        <f t="shared" si="33"/>
        <v>Troy</v>
      </c>
      <c r="E763" s="1" t="str">
        <f>IFERROR(INDEX(Census_Metro_List!$A:$A,MATCH(D763&amp;"*",Census_Metro_List!$A:$A,0)),"No Match")</f>
        <v>No Match</v>
      </c>
      <c r="F763" s="1" t="str">
        <f t="shared" si="34"/>
        <v>AL</v>
      </c>
      <c r="G763" s="1" t="str">
        <f t="shared" si="35"/>
        <v>Review</v>
      </c>
    </row>
    <row r="764" spans="1:7" x14ac:dyDescent="0.35">
      <c r="A764" s="1" t="s">
        <v>1165</v>
      </c>
      <c r="B764" s="1"/>
      <c r="C764" s="1" t="s">
        <v>1299</v>
      </c>
      <c r="D764" s="1" t="str">
        <f t="shared" si="33"/>
        <v>Malvern</v>
      </c>
      <c r="E764" s="1" t="str">
        <f>IFERROR(INDEX(Census_Metro_List!$A:$A,MATCH(D764&amp;"*",Census_Metro_List!$A:$A,0)),"No Match")</f>
        <v>No Match</v>
      </c>
      <c r="F764" s="1" t="str">
        <f t="shared" si="34"/>
        <v>AR</v>
      </c>
      <c r="G764" s="1" t="str">
        <f t="shared" si="35"/>
        <v>Review</v>
      </c>
    </row>
    <row r="765" spans="1:7" x14ac:dyDescent="0.35">
      <c r="A765" s="1" t="s">
        <v>1166</v>
      </c>
      <c r="B765" s="1"/>
      <c r="C765" s="1" t="s">
        <v>1299</v>
      </c>
      <c r="D765" s="1" t="str">
        <f t="shared" si="33"/>
        <v>Frankfort</v>
      </c>
      <c r="E765" s="1" t="str">
        <f>IFERROR(INDEX(Census_Metro_List!$A:$A,MATCH(D765&amp;"*",Census_Metro_List!$A:$A,0)),"No Match")</f>
        <v>No Match</v>
      </c>
      <c r="F765" s="1" t="str">
        <f t="shared" si="34"/>
        <v>IN</v>
      </c>
      <c r="G765" s="1" t="str">
        <f t="shared" si="35"/>
        <v>Review</v>
      </c>
    </row>
    <row r="766" spans="1:7" x14ac:dyDescent="0.35">
      <c r="A766" s="1" t="s">
        <v>1167</v>
      </c>
      <c r="B766" s="1"/>
      <c r="C766" s="1" t="s">
        <v>1299</v>
      </c>
      <c r="D766" s="1" t="str">
        <f t="shared" si="33"/>
        <v>Madison</v>
      </c>
      <c r="E766" s="1" t="str">
        <f>IFERROR(INDEX(Census_Metro_List!$A:$A,MATCH(D766&amp;"*",Census_Metro_List!$A:$A,0)),"No Match")</f>
        <v>Madison, WI Metro Area</v>
      </c>
      <c r="F766" s="1" t="str">
        <f t="shared" si="34"/>
        <v>IN</v>
      </c>
      <c r="G766" s="1" t="str">
        <f t="shared" si="35"/>
        <v>Review</v>
      </c>
    </row>
    <row r="767" spans="1:7" x14ac:dyDescent="0.35">
      <c r="A767" s="1" t="s">
        <v>1168</v>
      </c>
      <c r="B767" s="1"/>
      <c r="C767" s="1" t="s">
        <v>1299</v>
      </c>
      <c r="D767" s="1" t="str">
        <f t="shared" si="33"/>
        <v>Brevard</v>
      </c>
      <c r="E767" s="1" t="str">
        <f>IFERROR(INDEX(Census_Metro_List!$A:$A,MATCH(D767&amp;"*",Census_Metro_List!$A:$A,0)),"No Match")</f>
        <v>No Match</v>
      </c>
      <c r="F767" s="1" t="str">
        <f t="shared" si="34"/>
        <v>NC</v>
      </c>
      <c r="G767" s="1" t="str">
        <f t="shared" si="35"/>
        <v>Review</v>
      </c>
    </row>
    <row r="768" spans="1:7" x14ac:dyDescent="0.35">
      <c r="A768" s="1" t="s">
        <v>1169</v>
      </c>
      <c r="B768" s="1"/>
      <c r="C768" s="1" t="s">
        <v>1299</v>
      </c>
      <c r="D768" s="1" t="str">
        <f t="shared" si="33"/>
        <v>Susanville</v>
      </c>
      <c r="E768" s="1" t="str">
        <f>IFERROR(INDEX(Census_Metro_List!$A:$A,MATCH(D768&amp;"*",Census_Metro_List!$A:$A,0)),"No Match")</f>
        <v>No Match</v>
      </c>
      <c r="F768" s="1" t="str">
        <f t="shared" si="34"/>
        <v>CA</v>
      </c>
      <c r="G768" s="1" t="str">
        <f t="shared" si="35"/>
        <v>Review</v>
      </c>
    </row>
    <row r="769" spans="1:7" x14ac:dyDescent="0.35">
      <c r="A769" s="1" t="s">
        <v>1170</v>
      </c>
      <c r="B769" s="1"/>
      <c r="C769" s="1" t="s">
        <v>1299</v>
      </c>
      <c r="D769" s="1" t="str">
        <f t="shared" si="33"/>
        <v>Martin</v>
      </c>
      <c r="E769" s="1" t="str">
        <f>IFERROR(INDEX(Census_Metro_List!$A:$A,MATCH(D769&amp;"*",Census_Metro_List!$A:$A,0)),"No Match")</f>
        <v>No Match</v>
      </c>
      <c r="F769" s="1" t="str">
        <f t="shared" si="34"/>
        <v>TN</v>
      </c>
      <c r="G769" s="1" t="str">
        <f t="shared" si="35"/>
        <v>Review</v>
      </c>
    </row>
    <row r="770" spans="1:7" x14ac:dyDescent="0.35">
      <c r="A770" s="1" t="s">
        <v>1171</v>
      </c>
      <c r="B770" s="1"/>
      <c r="C770" s="1" t="s">
        <v>1299</v>
      </c>
      <c r="D770" s="1" t="str">
        <f t="shared" ref="D770:D833" si="36">LEFT(A770,FIND(",",A770)-1)</f>
        <v>Plainview</v>
      </c>
      <c r="E770" s="1" t="str">
        <f>IFERROR(INDEX(Census_Metro_List!$A:$A,MATCH(D770&amp;"*",Census_Metro_List!$A:$A,0)),"No Match")</f>
        <v>No Match</v>
      </c>
      <c r="F770" s="1" t="str">
        <f t="shared" ref="F770:F833" si="37">TRIM(RIGHT(A770,LEN(A770)-FIND(",",A770)))</f>
        <v>TX</v>
      </c>
      <c r="G770" s="1" t="str">
        <f t="shared" ref="G770:G833" si="38">IF(E770="No Match","Review",IF(ISNUMBER(SEARCH(F770,E770)),"Likely Match","Review"))</f>
        <v>Review</v>
      </c>
    </row>
    <row r="771" spans="1:7" x14ac:dyDescent="0.35">
      <c r="A771" s="1" t="s">
        <v>1172</v>
      </c>
      <c r="B771" s="1"/>
      <c r="C771" s="1" t="s">
        <v>1299</v>
      </c>
      <c r="D771" s="1" t="str">
        <f t="shared" si="36"/>
        <v>Dayton</v>
      </c>
      <c r="E771" s="1" t="str">
        <f>IFERROR(INDEX(Census_Metro_List!$A:$A,MATCH(D771&amp;"*",Census_Metro_List!$A:$A,0)),"No Match")</f>
        <v>Dayton-Kettering-Beavercreek, OH Metro Area</v>
      </c>
      <c r="F771" s="1" t="str">
        <f t="shared" si="37"/>
        <v>TN</v>
      </c>
      <c r="G771" s="1" t="str">
        <f t="shared" si="38"/>
        <v>Review</v>
      </c>
    </row>
    <row r="772" spans="1:7" x14ac:dyDescent="0.35">
      <c r="A772" s="1" t="s">
        <v>1173</v>
      </c>
      <c r="B772" s="1"/>
      <c r="C772" s="1" t="s">
        <v>1299</v>
      </c>
      <c r="D772" s="1" t="str">
        <f t="shared" si="36"/>
        <v>Jackson</v>
      </c>
      <c r="E772" s="1" t="str">
        <f>IFERROR(INDEX(Census_Metro_List!$A:$A,MATCH(D772&amp;"*",Census_Metro_List!$A:$A,0)),"No Match")</f>
        <v>Jackson, MI Metro Area</v>
      </c>
      <c r="F772" s="1" t="str">
        <f t="shared" si="37"/>
        <v>OH</v>
      </c>
      <c r="G772" s="1" t="str">
        <f t="shared" si="38"/>
        <v>Review</v>
      </c>
    </row>
    <row r="773" spans="1:7" x14ac:dyDescent="0.35">
      <c r="A773" s="1" t="s">
        <v>1174</v>
      </c>
      <c r="B773" s="1"/>
      <c r="C773" s="1" t="s">
        <v>1299</v>
      </c>
      <c r="D773" s="1" t="str">
        <f t="shared" si="36"/>
        <v>Cambridge</v>
      </c>
      <c r="E773" s="1" t="str">
        <f>IFERROR(INDEX(Census_Metro_List!$A:$A,MATCH(D773&amp;"*",Census_Metro_List!$A:$A,0)),"No Match")</f>
        <v>No Match</v>
      </c>
      <c r="F773" s="1" t="str">
        <f t="shared" si="37"/>
        <v>MD</v>
      </c>
      <c r="G773" s="1" t="str">
        <f t="shared" si="38"/>
        <v>Review</v>
      </c>
    </row>
    <row r="774" spans="1:7" x14ac:dyDescent="0.35">
      <c r="A774" s="1" t="s">
        <v>1175</v>
      </c>
      <c r="B774" s="1"/>
      <c r="C774" s="1" t="s">
        <v>1299</v>
      </c>
      <c r="D774" s="1" t="str">
        <f t="shared" si="36"/>
        <v>Paris</v>
      </c>
      <c r="E774" s="1" t="str">
        <f>IFERROR(INDEX(Census_Metro_List!$A:$A,MATCH(D774&amp;"*",Census_Metro_List!$A:$A,0)),"No Match")</f>
        <v>No Match</v>
      </c>
      <c r="F774" s="1" t="str">
        <f t="shared" si="37"/>
        <v>TN</v>
      </c>
      <c r="G774" s="1" t="str">
        <f t="shared" si="38"/>
        <v>Review</v>
      </c>
    </row>
    <row r="775" spans="1:7" x14ac:dyDescent="0.35">
      <c r="A775" s="1" t="s">
        <v>1176</v>
      </c>
      <c r="B775" s="1"/>
      <c r="C775" s="1" t="s">
        <v>1299</v>
      </c>
      <c r="D775" s="1" t="str">
        <f t="shared" si="36"/>
        <v>Juneau</v>
      </c>
      <c r="E775" s="1" t="str">
        <f>IFERROR(INDEX(Census_Metro_List!$A:$A,MATCH(D775&amp;"*",Census_Metro_List!$A:$A,0)),"No Match")</f>
        <v>No Match</v>
      </c>
      <c r="F775" s="1" t="str">
        <f t="shared" si="37"/>
        <v>AK</v>
      </c>
      <c r="G775" s="1" t="str">
        <f t="shared" si="38"/>
        <v>Review</v>
      </c>
    </row>
    <row r="776" spans="1:7" x14ac:dyDescent="0.35">
      <c r="A776" s="1" t="s">
        <v>1177</v>
      </c>
      <c r="B776" s="1"/>
      <c r="C776" s="1" t="s">
        <v>1299</v>
      </c>
      <c r="D776" s="1" t="str">
        <f t="shared" si="36"/>
        <v>Coffeyville</v>
      </c>
      <c r="E776" s="1" t="str">
        <f>IFERROR(INDEX(Census_Metro_List!$A:$A,MATCH(D776&amp;"*",Census_Metro_List!$A:$A,0)),"No Match")</f>
        <v>No Match</v>
      </c>
      <c r="F776" s="1" t="str">
        <f t="shared" si="37"/>
        <v>KS</v>
      </c>
      <c r="G776" s="1" t="str">
        <f t="shared" si="38"/>
        <v>Review</v>
      </c>
    </row>
    <row r="777" spans="1:7" x14ac:dyDescent="0.35">
      <c r="A777" s="1" t="s">
        <v>1178</v>
      </c>
      <c r="B777" s="1"/>
      <c r="C777" s="1" t="s">
        <v>1299</v>
      </c>
      <c r="D777" s="1" t="str">
        <f t="shared" si="36"/>
        <v>Las Vegas</v>
      </c>
      <c r="E777" s="1" t="str">
        <f>IFERROR(INDEX(Census_Metro_List!$A:$A,MATCH(D777&amp;"*",Census_Metro_List!$A:$A,0)),"No Match")</f>
        <v>Las Vegas-Henderson-North Las Vegas, NV Metro Area</v>
      </c>
      <c r="F777" s="1" t="str">
        <f t="shared" si="37"/>
        <v>NM</v>
      </c>
      <c r="G777" s="1" t="str">
        <f t="shared" si="38"/>
        <v>Review</v>
      </c>
    </row>
    <row r="778" spans="1:7" x14ac:dyDescent="0.35">
      <c r="A778" s="1" t="s">
        <v>1179</v>
      </c>
      <c r="B778" s="1"/>
      <c r="C778" s="1" t="s">
        <v>1299</v>
      </c>
      <c r="D778" s="1" t="str">
        <f t="shared" si="36"/>
        <v>Berlin</v>
      </c>
      <c r="E778" s="1" t="str">
        <f>IFERROR(INDEX(Census_Metro_List!$A:$A,MATCH(D778&amp;"*",Census_Metro_List!$A:$A,0)),"No Match")</f>
        <v>No Match</v>
      </c>
      <c r="F778" s="1" t="str">
        <f t="shared" si="37"/>
        <v>NH</v>
      </c>
      <c r="G778" s="1" t="str">
        <f t="shared" si="38"/>
        <v>Review</v>
      </c>
    </row>
    <row r="779" spans="1:7" x14ac:dyDescent="0.35">
      <c r="A779" s="1" t="s">
        <v>1180</v>
      </c>
      <c r="B779" s="1"/>
      <c r="C779" s="1" t="s">
        <v>1299</v>
      </c>
      <c r="D779" s="1" t="str">
        <f t="shared" si="36"/>
        <v>Cleveland</v>
      </c>
      <c r="E779" s="1" t="str">
        <f>IFERROR(INDEX(Census_Metro_List!$A:$A,MATCH(D779&amp;"*",Census_Metro_List!$A:$A,0)),"No Match")</f>
        <v>Cleveland, OH Metro Area</v>
      </c>
      <c r="F779" s="1" t="str">
        <f t="shared" si="37"/>
        <v>MS</v>
      </c>
      <c r="G779" s="1" t="str">
        <f t="shared" si="38"/>
        <v>Review</v>
      </c>
    </row>
    <row r="780" spans="1:7" x14ac:dyDescent="0.35">
      <c r="A780" s="1" t="s">
        <v>1181</v>
      </c>
      <c r="B780" s="1"/>
      <c r="C780" s="1" t="s">
        <v>1299</v>
      </c>
      <c r="D780" s="1" t="str">
        <f t="shared" si="36"/>
        <v>Hastings</v>
      </c>
      <c r="E780" s="1" t="str">
        <f>IFERROR(INDEX(Census_Metro_List!$A:$A,MATCH(D780&amp;"*",Census_Metro_List!$A:$A,0)),"No Match")</f>
        <v>No Match</v>
      </c>
      <c r="F780" s="1" t="str">
        <f t="shared" si="37"/>
        <v>NE</v>
      </c>
      <c r="G780" s="1" t="str">
        <f t="shared" si="38"/>
        <v>Review</v>
      </c>
    </row>
    <row r="781" spans="1:7" x14ac:dyDescent="0.35">
      <c r="A781" s="1" t="s">
        <v>1182</v>
      </c>
      <c r="B781" s="1"/>
      <c r="C781" s="1" t="s">
        <v>1299</v>
      </c>
      <c r="D781" s="1" t="str">
        <f t="shared" si="36"/>
        <v>Beeville</v>
      </c>
      <c r="E781" s="1" t="str">
        <f>IFERROR(INDEX(Census_Metro_List!$A:$A,MATCH(D781&amp;"*",Census_Metro_List!$A:$A,0)),"No Match")</f>
        <v>No Match</v>
      </c>
      <c r="F781" s="1" t="str">
        <f t="shared" si="37"/>
        <v>TX</v>
      </c>
      <c r="G781" s="1" t="str">
        <f t="shared" si="38"/>
        <v>Review</v>
      </c>
    </row>
    <row r="782" spans="1:7" x14ac:dyDescent="0.35">
      <c r="A782" s="1" t="s">
        <v>1183</v>
      </c>
      <c r="B782" s="1"/>
      <c r="C782" s="1" t="s">
        <v>1299</v>
      </c>
      <c r="D782" s="1" t="str">
        <f t="shared" si="36"/>
        <v>Kingsville</v>
      </c>
      <c r="E782" s="1" t="str">
        <f>IFERROR(INDEX(Census_Metro_List!$A:$A,MATCH(D782&amp;"*",Census_Metro_List!$A:$A,0)),"No Match")</f>
        <v>No Match</v>
      </c>
      <c r="F782" s="1" t="str">
        <f t="shared" si="37"/>
        <v>TX</v>
      </c>
      <c r="G782" s="1" t="str">
        <f t="shared" si="38"/>
        <v>Review</v>
      </c>
    </row>
    <row r="783" spans="1:7" x14ac:dyDescent="0.35">
      <c r="A783" s="1" t="s">
        <v>1184</v>
      </c>
      <c r="B783" s="1"/>
      <c r="C783" s="1" t="s">
        <v>1299</v>
      </c>
      <c r="D783" s="1" t="str">
        <f t="shared" si="36"/>
        <v>Wabash</v>
      </c>
      <c r="E783" s="1" t="str">
        <f>IFERROR(INDEX(Census_Metro_List!$A:$A,MATCH(D783&amp;"*",Census_Metro_List!$A:$A,0)),"No Match")</f>
        <v>No Match</v>
      </c>
      <c r="F783" s="1" t="str">
        <f t="shared" si="37"/>
        <v>IN</v>
      </c>
      <c r="G783" s="1" t="str">
        <f t="shared" si="38"/>
        <v>Review</v>
      </c>
    </row>
    <row r="784" spans="1:7" x14ac:dyDescent="0.35">
      <c r="A784" s="1" t="s">
        <v>1185</v>
      </c>
      <c r="B784" s="1"/>
      <c r="C784" s="1" t="s">
        <v>1299</v>
      </c>
      <c r="D784" s="1" t="str">
        <f t="shared" si="36"/>
        <v>Breckenridge</v>
      </c>
      <c r="E784" s="1" t="str">
        <f>IFERROR(INDEX(Census_Metro_List!$A:$A,MATCH(D784&amp;"*",Census_Metro_List!$A:$A,0)),"No Match")</f>
        <v>No Match</v>
      </c>
      <c r="F784" s="1" t="str">
        <f t="shared" si="37"/>
        <v>CO</v>
      </c>
      <c r="G784" s="1" t="str">
        <f t="shared" si="38"/>
        <v>Review</v>
      </c>
    </row>
    <row r="785" spans="1:7" x14ac:dyDescent="0.35">
      <c r="A785" s="1" t="s">
        <v>1186</v>
      </c>
      <c r="B785" s="1"/>
      <c r="C785" s="1" t="s">
        <v>1299</v>
      </c>
      <c r="D785" s="1" t="str">
        <f t="shared" si="36"/>
        <v>Albert Lea</v>
      </c>
      <c r="E785" s="1" t="str">
        <f>IFERROR(INDEX(Census_Metro_List!$A:$A,MATCH(D785&amp;"*",Census_Metro_List!$A:$A,0)),"No Match")</f>
        <v>No Match</v>
      </c>
      <c r="F785" s="1" t="str">
        <f t="shared" si="37"/>
        <v>MN</v>
      </c>
      <c r="G785" s="1" t="str">
        <f t="shared" si="38"/>
        <v>Review</v>
      </c>
    </row>
    <row r="786" spans="1:7" x14ac:dyDescent="0.35">
      <c r="A786" s="1" t="s">
        <v>1187</v>
      </c>
      <c r="B786" s="1"/>
      <c r="C786" s="1" t="s">
        <v>1299</v>
      </c>
      <c r="D786" s="1" t="str">
        <f t="shared" si="36"/>
        <v>Sheridan</v>
      </c>
      <c r="E786" s="1" t="str">
        <f>IFERROR(INDEX(Census_Metro_List!$A:$A,MATCH(D786&amp;"*",Census_Metro_List!$A:$A,0)),"No Match")</f>
        <v>No Match</v>
      </c>
      <c r="F786" s="1" t="str">
        <f t="shared" si="37"/>
        <v>WY</v>
      </c>
      <c r="G786" s="1" t="str">
        <f t="shared" si="38"/>
        <v>Review</v>
      </c>
    </row>
    <row r="787" spans="1:7" x14ac:dyDescent="0.35">
      <c r="A787" s="1" t="s">
        <v>1188</v>
      </c>
      <c r="B787" s="1"/>
      <c r="C787" s="1" t="s">
        <v>1299</v>
      </c>
      <c r="D787" s="1" t="str">
        <f t="shared" si="36"/>
        <v>Union City</v>
      </c>
      <c r="E787" s="1" t="str">
        <f>IFERROR(INDEX(Census_Metro_List!$A:$A,MATCH(D787&amp;"*",Census_Metro_List!$A:$A,0)),"No Match")</f>
        <v>No Match</v>
      </c>
      <c r="F787" s="1" t="str">
        <f t="shared" si="37"/>
        <v>TN</v>
      </c>
      <c r="G787" s="1" t="str">
        <f t="shared" si="38"/>
        <v>Review</v>
      </c>
    </row>
    <row r="788" spans="1:7" x14ac:dyDescent="0.35">
      <c r="A788" s="1" t="s">
        <v>1189</v>
      </c>
      <c r="B788" s="1"/>
      <c r="C788" s="1" t="s">
        <v>1299</v>
      </c>
      <c r="D788" s="1" t="str">
        <f t="shared" si="36"/>
        <v>Miami</v>
      </c>
      <c r="E788" s="1" t="str">
        <f>IFERROR(INDEX(Census_Metro_List!$A:$A,MATCH(D788&amp;"*",Census_Metro_List!$A:$A,0)),"No Match")</f>
        <v>Miami-Fort Lauderdale-West Palm Beach, FL Metro Area</v>
      </c>
      <c r="F788" s="1" t="str">
        <f t="shared" si="37"/>
        <v>OK</v>
      </c>
      <c r="G788" s="1" t="str">
        <f t="shared" si="38"/>
        <v>Review</v>
      </c>
    </row>
    <row r="789" spans="1:7" x14ac:dyDescent="0.35">
      <c r="A789" s="1" t="s">
        <v>1190</v>
      </c>
      <c r="B789" s="1"/>
      <c r="C789" s="1" t="s">
        <v>1299</v>
      </c>
      <c r="D789" s="1" t="str">
        <f t="shared" si="36"/>
        <v>Iron Mountain</v>
      </c>
      <c r="E789" s="1" t="str">
        <f>IFERROR(INDEX(Census_Metro_List!$A:$A,MATCH(D789&amp;"*",Census_Metro_List!$A:$A,0)),"No Match")</f>
        <v>No Match</v>
      </c>
      <c r="F789" s="1" t="str">
        <f t="shared" si="37"/>
        <v>MI</v>
      </c>
      <c r="G789" s="1" t="str">
        <f t="shared" si="38"/>
        <v>Review</v>
      </c>
    </row>
    <row r="790" spans="1:7" x14ac:dyDescent="0.35">
      <c r="A790" s="1" t="s">
        <v>1191</v>
      </c>
      <c r="B790" s="1"/>
      <c r="C790" s="1" t="s">
        <v>1299</v>
      </c>
      <c r="D790" s="1" t="str">
        <f t="shared" si="36"/>
        <v>Jesup</v>
      </c>
      <c r="E790" s="1" t="str">
        <f>IFERROR(INDEX(Census_Metro_List!$A:$A,MATCH(D790&amp;"*",Census_Metro_List!$A:$A,0)),"No Match")</f>
        <v>No Match</v>
      </c>
      <c r="F790" s="1" t="str">
        <f t="shared" si="37"/>
        <v>GA</v>
      </c>
      <c r="G790" s="1" t="str">
        <f t="shared" si="38"/>
        <v>Review</v>
      </c>
    </row>
    <row r="791" spans="1:7" x14ac:dyDescent="0.35">
      <c r="A791" s="1" t="s">
        <v>1192</v>
      </c>
      <c r="B791" s="1"/>
      <c r="C791" s="1" t="s">
        <v>1299</v>
      </c>
      <c r="D791" s="1" t="str">
        <f t="shared" si="36"/>
        <v>McPherson</v>
      </c>
      <c r="E791" s="1" t="str">
        <f>IFERROR(INDEX(Census_Metro_List!$A:$A,MATCH(D791&amp;"*",Census_Metro_List!$A:$A,0)),"No Match")</f>
        <v>No Match</v>
      </c>
      <c r="F791" s="1" t="str">
        <f t="shared" si="37"/>
        <v>KS</v>
      </c>
      <c r="G791" s="1" t="str">
        <f t="shared" si="38"/>
        <v>Review</v>
      </c>
    </row>
    <row r="792" spans="1:7" x14ac:dyDescent="0.35">
      <c r="A792" s="1" t="s">
        <v>1193</v>
      </c>
      <c r="B792" s="1"/>
      <c r="C792" s="1" t="s">
        <v>1299</v>
      </c>
      <c r="D792" s="1" t="str">
        <f t="shared" si="36"/>
        <v>Kirksville</v>
      </c>
      <c r="E792" s="1" t="str">
        <f>IFERROR(INDEX(Census_Metro_List!$A:$A,MATCH(D792&amp;"*",Census_Metro_List!$A:$A,0)),"No Match")</f>
        <v>No Match</v>
      </c>
      <c r="F792" s="1" t="str">
        <f t="shared" si="37"/>
        <v>MO</v>
      </c>
      <c r="G792" s="1" t="str">
        <f t="shared" si="38"/>
        <v>Review</v>
      </c>
    </row>
    <row r="793" spans="1:7" x14ac:dyDescent="0.35">
      <c r="A793" s="1" t="s">
        <v>1194</v>
      </c>
      <c r="B793" s="1"/>
      <c r="C793" s="1" t="s">
        <v>1299</v>
      </c>
      <c r="D793" s="1" t="str">
        <f t="shared" si="36"/>
        <v>Ludington</v>
      </c>
      <c r="E793" s="1" t="str">
        <f>IFERROR(INDEX(Census_Metro_List!$A:$A,MATCH(D793&amp;"*",Census_Metro_List!$A:$A,0)),"No Match")</f>
        <v>No Match</v>
      </c>
      <c r="F793" s="1" t="str">
        <f t="shared" si="37"/>
        <v>MI</v>
      </c>
      <c r="G793" s="1" t="str">
        <f t="shared" si="38"/>
        <v>Review</v>
      </c>
    </row>
    <row r="794" spans="1:7" x14ac:dyDescent="0.35">
      <c r="A794" s="1" t="s">
        <v>1195</v>
      </c>
      <c r="B794" s="1"/>
      <c r="C794" s="1" t="s">
        <v>1299</v>
      </c>
      <c r="D794" s="1" t="str">
        <f t="shared" si="36"/>
        <v>Bainbridge</v>
      </c>
      <c r="E794" s="1" t="str">
        <f>IFERROR(INDEX(Census_Metro_List!$A:$A,MATCH(D794&amp;"*",Census_Metro_List!$A:$A,0)),"No Match")</f>
        <v>No Match</v>
      </c>
      <c r="F794" s="1" t="str">
        <f t="shared" si="37"/>
        <v>GA</v>
      </c>
      <c r="G794" s="1" t="str">
        <f t="shared" si="38"/>
        <v>Review</v>
      </c>
    </row>
    <row r="795" spans="1:7" x14ac:dyDescent="0.35">
      <c r="A795" s="1" t="s">
        <v>1196</v>
      </c>
      <c r="B795" s="1"/>
      <c r="C795" s="1" t="s">
        <v>1299</v>
      </c>
      <c r="D795" s="1" t="str">
        <f t="shared" si="36"/>
        <v>Alpena</v>
      </c>
      <c r="E795" s="1" t="str">
        <f>IFERROR(INDEX(Census_Metro_List!$A:$A,MATCH(D795&amp;"*",Census_Metro_List!$A:$A,0)),"No Match")</f>
        <v>No Match</v>
      </c>
      <c r="F795" s="1" t="str">
        <f t="shared" si="37"/>
        <v>MI</v>
      </c>
      <c r="G795" s="1" t="str">
        <f t="shared" si="38"/>
        <v>Review</v>
      </c>
    </row>
    <row r="796" spans="1:7" x14ac:dyDescent="0.35">
      <c r="A796" s="1" t="s">
        <v>1197</v>
      </c>
      <c r="B796" s="1"/>
      <c r="C796" s="1" t="s">
        <v>1299</v>
      </c>
      <c r="D796" s="1" t="str">
        <f t="shared" si="36"/>
        <v>Washington Court House</v>
      </c>
      <c r="E796" s="1" t="str">
        <f>IFERROR(INDEX(Census_Metro_List!$A:$A,MATCH(D796&amp;"*",Census_Metro_List!$A:$A,0)),"No Match")</f>
        <v>No Match</v>
      </c>
      <c r="F796" s="1" t="str">
        <f t="shared" si="37"/>
        <v>OH</v>
      </c>
      <c r="G796" s="1" t="str">
        <f t="shared" si="38"/>
        <v>Review</v>
      </c>
    </row>
    <row r="797" spans="1:7" x14ac:dyDescent="0.35">
      <c r="A797" s="1" t="s">
        <v>1198</v>
      </c>
      <c r="B797" s="1"/>
      <c r="C797" s="1" t="s">
        <v>1299</v>
      </c>
      <c r="D797" s="1" t="str">
        <f t="shared" si="36"/>
        <v>Hays</v>
      </c>
      <c r="E797" s="1" t="str">
        <f>IFERROR(INDEX(Census_Metro_List!$A:$A,MATCH(D797&amp;"*",Census_Metro_List!$A:$A,0)),"No Match")</f>
        <v>No Match</v>
      </c>
      <c r="F797" s="1" t="str">
        <f t="shared" si="37"/>
        <v>KS</v>
      </c>
      <c r="G797" s="1" t="str">
        <f t="shared" si="38"/>
        <v>Review</v>
      </c>
    </row>
    <row r="798" spans="1:7" x14ac:dyDescent="0.35">
      <c r="A798" s="1" t="s">
        <v>1199</v>
      </c>
      <c r="B798" s="1"/>
      <c r="C798" s="1" t="s">
        <v>1299</v>
      </c>
      <c r="D798" s="1" t="str">
        <f t="shared" si="36"/>
        <v>Fort Morgan</v>
      </c>
      <c r="E798" s="1" t="str">
        <f>IFERROR(INDEX(Census_Metro_List!$A:$A,MATCH(D798&amp;"*",Census_Metro_List!$A:$A,0)),"No Match")</f>
        <v>No Match</v>
      </c>
      <c r="F798" s="1" t="str">
        <f t="shared" si="37"/>
        <v>CO</v>
      </c>
      <c r="G798" s="1" t="str">
        <f t="shared" si="38"/>
        <v>Review</v>
      </c>
    </row>
    <row r="799" spans="1:7" x14ac:dyDescent="0.35">
      <c r="A799" s="1" t="s">
        <v>1200</v>
      </c>
      <c r="B799" s="1"/>
      <c r="C799" s="1" t="s">
        <v>1299</v>
      </c>
      <c r="D799" s="1" t="str">
        <f t="shared" si="36"/>
        <v>Van Wert</v>
      </c>
      <c r="E799" s="1" t="str">
        <f>IFERROR(INDEX(Census_Metro_List!$A:$A,MATCH(D799&amp;"*",Census_Metro_List!$A:$A,0)),"No Match")</f>
        <v>No Match</v>
      </c>
      <c r="F799" s="1" t="str">
        <f t="shared" si="37"/>
        <v>OH</v>
      </c>
      <c r="G799" s="1" t="str">
        <f t="shared" si="38"/>
        <v>Review</v>
      </c>
    </row>
    <row r="800" spans="1:7" x14ac:dyDescent="0.35">
      <c r="A800" s="1" t="s">
        <v>1201</v>
      </c>
      <c r="B800" s="1"/>
      <c r="C800" s="1" t="s">
        <v>1299</v>
      </c>
      <c r="D800" s="1" t="str">
        <f t="shared" si="36"/>
        <v>Kennett</v>
      </c>
      <c r="E800" s="1" t="str">
        <f>IFERROR(INDEX(Census_Metro_List!$A:$A,MATCH(D800&amp;"*",Census_Metro_List!$A:$A,0)),"No Match")</f>
        <v>No Match</v>
      </c>
      <c r="F800" s="1" t="str">
        <f t="shared" si="37"/>
        <v>MO</v>
      </c>
      <c r="G800" s="1" t="str">
        <f t="shared" si="38"/>
        <v>Review</v>
      </c>
    </row>
    <row r="801" spans="1:7" x14ac:dyDescent="0.35">
      <c r="A801" s="1" t="s">
        <v>1202</v>
      </c>
      <c r="B801" s="1"/>
      <c r="C801" s="1" t="s">
        <v>1299</v>
      </c>
      <c r="D801" s="1" t="str">
        <f t="shared" si="36"/>
        <v>Weatherford</v>
      </c>
      <c r="E801" s="1" t="str">
        <f>IFERROR(INDEX(Census_Metro_List!$A:$A,MATCH(D801&amp;"*",Census_Metro_List!$A:$A,0)),"No Match")</f>
        <v>No Match</v>
      </c>
      <c r="F801" s="1" t="str">
        <f t="shared" si="37"/>
        <v>OK</v>
      </c>
      <c r="G801" s="1" t="str">
        <f t="shared" si="38"/>
        <v>Review</v>
      </c>
    </row>
    <row r="802" spans="1:7" x14ac:dyDescent="0.35">
      <c r="A802" s="1" t="s">
        <v>1203</v>
      </c>
      <c r="B802" s="1"/>
      <c r="C802" s="1" t="s">
        <v>1299</v>
      </c>
      <c r="D802" s="1" t="str">
        <f t="shared" si="36"/>
        <v>Mountain Home</v>
      </c>
      <c r="E802" s="1" t="str">
        <f>IFERROR(INDEX(Census_Metro_List!$A:$A,MATCH(D802&amp;"*",Census_Metro_List!$A:$A,0)),"No Match")</f>
        <v>No Match</v>
      </c>
      <c r="F802" s="1" t="str">
        <f t="shared" si="37"/>
        <v>ID</v>
      </c>
      <c r="G802" s="1" t="str">
        <f t="shared" si="38"/>
        <v>Review</v>
      </c>
    </row>
    <row r="803" spans="1:7" x14ac:dyDescent="0.35">
      <c r="A803" s="1" t="s">
        <v>1204</v>
      </c>
      <c r="B803" s="1"/>
      <c r="C803" s="1" t="s">
        <v>1299</v>
      </c>
      <c r="D803" s="1" t="str">
        <f t="shared" si="36"/>
        <v>Mineral Wells</v>
      </c>
      <c r="E803" s="1" t="str">
        <f>IFERROR(INDEX(Census_Metro_List!$A:$A,MATCH(D803&amp;"*",Census_Metro_List!$A:$A,0)),"No Match")</f>
        <v>No Match</v>
      </c>
      <c r="F803" s="1" t="str">
        <f t="shared" si="37"/>
        <v>TX</v>
      </c>
      <c r="G803" s="1" t="str">
        <f t="shared" si="38"/>
        <v>Review</v>
      </c>
    </row>
    <row r="804" spans="1:7" x14ac:dyDescent="0.35">
      <c r="A804" s="1" t="s">
        <v>1205</v>
      </c>
      <c r="B804" s="1"/>
      <c r="C804" s="1" t="s">
        <v>1299</v>
      </c>
      <c r="D804" s="1" t="str">
        <f t="shared" si="36"/>
        <v>Lincoln</v>
      </c>
      <c r="E804" s="1" t="str">
        <f>IFERROR(INDEX(Census_Metro_List!$A:$A,MATCH(D804&amp;"*",Census_Metro_List!$A:$A,0)),"No Match")</f>
        <v>Lincoln, NE Metro Area</v>
      </c>
      <c r="F804" s="1" t="str">
        <f t="shared" si="37"/>
        <v>IL</v>
      </c>
      <c r="G804" s="1" t="str">
        <f t="shared" si="38"/>
        <v>Review</v>
      </c>
    </row>
    <row r="805" spans="1:7" x14ac:dyDescent="0.35">
      <c r="A805" s="1" t="s">
        <v>1206</v>
      </c>
      <c r="B805" s="1"/>
      <c r="C805" s="1" t="s">
        <v>1299</v>
      </c>
      <c r="D805" s="1" t="str">
        <f t="shared" si="36"/>
        <v>Silver City</v>
      </c>
      <c r="E805" s="1" t="str">
        <f>IFERROR(INDEX(Census_Metro_List!$A:$A,MATCH(D805&amp;"*",Census_Metro_List!$A:$A,0)),"No Match")</f>
        <v>No Match</v>
      </c>
      <c r="F805" s="1" t="str">
        <f t="shared" si="37"/>
        <v>NM</v>
      </c>
      <c r="G805" s="1" t="str">
        <f t="shared" si="38"/>
        <v>Review</v>
      </c>
    </row>
    <row r="806" spans="1:7" x14ac:dyDescent="0.35">
      <c r="A806" s="1" t="s">
        <v>1207</v>
      </c>
      <c r="B806" s="1"/>
      <c r="C806" s="1" t="s">
        <v>1299</v>
      </c>
      <c r="D806" s="1" t="str">
        <f t="shared" si="36"/>
        <v>Elkins</v>
      </c>
      <c r="E806" s="1" t="str">
        <f>IFERROR(INDEX(Census_Metro_List!$A:$A,MATCH(D806&amp;"*",Census_Metro_List!$A:$A,0)),"No Match")</f>
        <v>No Match</v>
      </c>
      <c r="F806" s="1" t="str">
        <f t="shared" si="37"/>
        <v>WV</v>
      </c>
      <c r="G806" s="1" t="str">
        <f t="shared" si="38"/>
        <v>Review</v>
      </c>
    </row>
    <row r="807" spans="1:7" x14ac:dyDescent="0.35">
      <c r="A807" s="1" t="s">
        <v>1208</v>
      </c>
      <c r="B807" s="1"/>
      <c r="C807" s="1" t="s">
        <v>1299</v>
      </c>
      <c r="D807" s="1" t="str">
        <f t="shared" si="36"/>
        <v>Macomb</v>
      </c>
      <c r="E807" s="1" t="str">
        <f>IFERROR(INDEX(Census_Metro_List!$A:$A,MATCH(D807&amp;"*",Census_Metro_List!$A:$A,0)),"No Match")</f>
        <v>No Match</v>
      </c>
      <c r="F807" s="1" t="str">
        <f t="shared" si="37"/>
        <v>IL</v>
      </c>
      <c r="G807" s="1" t="str">
        <f t="shared" si="38"/>
        <v>Review</v>
      </c>
    </row>
    <row r="808" spans="1:7" x14ac:dyDescent="0.35">
      <c r="A808" s="1" t="s">
        <v>1209</v>
      </c>
      <c r="B808" s="1"/>
      <c r="C808" s="1" t="s">
        <v>1299</v>
      </c>
      <c r="D808" s="1" t="str">
        <f t="shared" si="36"/>
        <v>Camden</v>
      </c>
      <c r="E808" s="1" t="str">
        <f>IFERROR(INDEX(Census_Metro_List!$A:$A,MATCH(D808&amp;"*",Census_Metro_List!$A:$A,0)),"No Match")</f>
        <v>No Match</v>
      </c>
      <c r="F808" s="1" t="str">
        <f t="shared" si="37"/>
        <v>AR</v>
      </c>
      <c r="G808" s="1" t="str">
        <f t="shared" si="38"/>
        <v>Review</v>
      </c>
    </row>
    <row r="809" spans="1:7" x14ac:dyDescent="0.35">
      <c r="A809" s="1" t="s">
        <v>1210</v>
      </c>
      <c r="B809" s="1"/>
      <c r="C809" s="1" t="s">
        <v>1299</v>
      </c>
      <c r="D809" s="1" t="str">
        <f t="shared" si="36"/>
        <v>Crescent City</v>
      </c>
      <c r="E809" s="1" t="str">
        <f>IFERROR(INDEX(Census_Metro_List!$A:$A,MATCH(D809&amp;"*",Census_Metro_List!$A:$A,0)),"No Match")</f>
        <v>No Match</v>
      </c>
      <c r="F809" s="1" t="str">
        <f t="shared" si="37"/>
        <v>CA</v>
      </c>
      <c r="G809" s="1" t="str">
        <f t="shared" si="38"/>
        <v>Review</v>
      </c>
    </row>
    <row r="810" spans="1:7" x14ac:dyDescent="0.35">
      <c r="A810" s="1" t="s">
        <v>1211</v>
      </c>
      <c r="B810" s="1"/>
      <c r="C810" s="1" t="s">
        <v>1299</v>
      </c>
      <c r="D810" s="1" t="str">
        <f t="shared" si="36"/>
        <v>North Vernon</v>
      </c>
      <c r="E810" s="1" t="str">
        <f>IFERROR(INDEX(Census_Metro_List!$A:$A,MATCH(D810&amp;"*",Census_Metro_List!$A:$A,0)),"No Match")</f>
        <v>No Match</v>
      </c>
      <c r="F810" s="1" t="str">
        <f t="shared" si="37"/>
        <v>IN</v>
      </c>
      <c r="G810" s="1" t="str">
        <f t="shared" si="38"/>
        <v>Review</v>
      </c>
    </row>
    <row r="811" spans="1:7" x14ac:dyDescent="0.35">
      <c r="A811" s="1" t="s">
        <v>1212</v>
      </c>
      <c r="B811" s="1"/>
      <c r="C811" s="1" t="s">
        <v>1299</v>
      </c>
      <c r="D811" s="1" t="str">
        <f t="shared" si="36"/>
        <v>Thomaston</v>
      </c>
      <c r="E811" s="1" t="str">
        <f>IFERROR(INDEX(Census_Metro_List!$A:$A,MATCH(D811&amp;"*",Census_Metro_List!$A:$A,0)),"No Match")</f>
        <v>No Match</v>
      </c>
      <c r="F811" s="1" t="str">
        <f t="shared" si="37"/>
        <v>GA</v>
      </c>
      <c r="G811" s="1" t="str">
        <f t="shared" si="38"/>
        <v>Review</v>
      </c>
    </row>
    <row r="812" spans="1:7" x14ac:dyDescent="0.35">
      <c r="A812" s="1" t="s">
        <v>1213</v>
      </c>
      <c r="B812" s="1"/>
      <c r="C812" s="1" t="s">
        <v>1299</v>
      </c>
      <c r="D812" s="1" t="str">
        <f t="shared" si="36"/>
        <v>Grants</v>
      </c>
      <c r="E812" s="1" t="str">
        <f>IFERROR(INDEX(Census_Metro_List!$A:$A,MATCH(D812&amp;"*",Census_Metro_List!$A:$A,0)),"No Match")</f>
        <v>Grants Pass, OR Metro Area</v>
      </c>
      <c r="F812" s="1" t="str">
        <f t="shared" si="37"/>
        <v>NM</v>
      </c>
      <c r="G812" s="1" t="str">
        <f t="shared" si="38"/>
        <v>Review</v>
      </c>
    </row>
    <row r="813" spans="1:7" x14ac:dyDescent="0.35">
      <c r="A813" s="1" t="s">
        <v>1214</v>
      </c>
      <c r="B813" s="1"/>
      <c r="C813" s="1" t="s">
        <v>1299</v>
      </c>
      <c r="D813" s="1" t="str">
        <f t="shared" si="36"/>
        <v>Bennettsville</v>
      </c>
      <c r="E813" s="1" t="str">
        <f>IFERROR(INDEX(Census_Metro_List!$A:$A,MATCH(D813&amp;"*",Census_Metro_List!$A:$A,0)),"No Match")</f>
        <v>No Match</v>
      </c>
      <c r="F813" s="1" t="str">
        <f t="shared" si="37"/>
        <v>SC</v>
      </c>
      <c r="G813" s="1" t="str">
        <f t="shared" si="38"/>
        <v>Review</v>
      </c>
    </row>
    <row r="814" spans="1:7" x14ac:dyDescent="0.35">
      <c r="A814" s="1" t="s">
        <v>1215</v>
      </c>
      <c r="B814" s="1"/>
      <c r="C814" s="1" t="s">
        <v>1299</v>
      </c>
      <c r="D814" s="1" t="str">
        <f t="shared" si="36"/>
        <v>Fredericksburg</v>
      </c>
      <c r="E814" s="1" t="str">
        <f>IFERROR(INDEX(Census_Metro_List!$A:$A,MATCH(D814&amp;"*",Census_Metro_List!$A:$A,0)),"No Match")</f>
        <v>No Match</v>
      </c>
      <c r="F814" s="1" t="str">
        <f t="shared" si="37"/>
        <v>TX</v>
      </c>
      <c r="G814" s="1" t="str">
        <f t="shared" si="38"/>
        <v>Review</v>
      </c>
    </row>
    <row r="815" spans="1:7" x14ac:dyDescent="0.35">
      <c r="A815" s="1" t="s">
        <v>1216</v>
      </c>
      <c r="B815" s="1"/>
      <c r="C815" s="1" t="s">
        <v>1299</v>
      </c>
      <c r="D815" s="1" t="str">
        <f t="shared" si="36"/>
        <v>Toccoa</v>
      </c>
      <c r="E815" s="1" t="str">
        <f>IFERROR(INDEX(Census_Metro_List!$A:$A,MATCH(D815&amp;"*",Census_Metro_List!$A:$A,0)),"No Match")</f>
        <v>No Match</v>
      </c>
      <c r="F815" s="1" t="str">
        <f t="shared" si="37"/>
        <v>GA</v>
      </c>
      <c r="G815" s="1" t="str">
        <f t="shared" si="38"/>
        <v>Review</v>
      </c>
    </row>
    <row r="816" spans="1:7" x14ac:dyDescent="0.35">
      <c r="A816" s="1" t="s">
        <v>1217</v>
      </c>
      <c r="B816" s="1"/>
      <c r="C816" s="1" t="s">
        <v>1299</v>
      </c>
      <c r="D816" s="1" t="str">
        <f t="shared" si="36"/>
        <v>The Dalles</v>
      </c>
      <c r="E816" s="1" t="str">
        <f>IFERROR(INDEX(Census_Metro_List!$A:$A,MATCH(D816&amp;"*",Census_Metro_List!$A:$A,0)),"No Match")</f>
        <v>No Match</v>
      </c>
      <c r="F816" s="1" t="str">
        <f t="shared" si="37"/>
        <v>OR</v>
      </c>
      <c r="G816" s="1" t="str">
        <f t="shared" si="38"/>
        <v>Review</v>
      </c>
    </row>
    <row r="817" spans="1:7" x14ac:dyDescent="0.35">
      <c r="A817" s="1" t="s">
        <v>1218</v>
      </c>
      <c r="B817" s="1"/>
      <c r="C817" s="1" t="s">
        <v>1299</v>
      </c>
      <c r="D817" s="1" t="str">
        <f t="shared" si="36"/>
        <v>Greensburg</v>
      </c>
      <c r="E817" s="1" t="str">
        <f>IFERROR(INDEX(Census_Metro_List!$A:$A,MATCH(D817&amp;"*",Census_Metro_List!$A:$A,0)),"No Match")</f>
        <v>No Match</v>
      </c>
      <c r="F817" s="1" t="str">
        <f t="shared" si="37"/>
        <v>IN</v>
      </c>
      <c r="G817" s="1" t="str">
        <f t="shared" si="38"/>
        <v>Review</v>
      </c>
    </row>
    <row r="818" spans="1:7" x14ac:dyDescent="0.35">
      <c r="A818" s="1" t="s">
        <v>1219</v>
      </c>
      <c r="B818" s="1"/>
      <c r="C818" s="1" t="s">
        <v>1299</v>
      </c>
      <c r="D818" s="1" t="str">
        <f t="shared" si="36"/>
        <v>Indianola</v>
      </c>
      <c r="E818" s="1" t="str">
        <f>IFERROR(INDEX(Census_Metro_List!$A:$A,MATCH(D818&amp;"*",Census_Metro_List!$A:$A,0)),"No Match")</f>
        <v>No Match</v>
      </c>
      <c r="F818" s="1" t="str">
        <f t="shared" si="37"/>
        <v>MS</v>
      </c>
      <c r="G818" s="1" t="str">
        <f t="shared" si="38"/>
        <v>Review</v>
      </c>
    </row>
    <row r="819" spans="1:7" x14ac:dyDescent="0.35">
      <c r="A819" s="1" t="s">
        <v>1220</v>
      </c>
      <c r="B819" s="1"/>
      <c r="C819" s="1" t="s">
        <v>1299</v>
      </c>
      <c r="D819" s="1" t="str">
        <f t="shared" si="36"/>
        <v>La Grande</v>
      </c>
      <c r="E819" s="1" t="str">
        <f>IFERROR(INDEX(Census_Metro_List!$A:$A,MATCH(D819&amp;"*",Census_Metro_List!$A:$A,0)),"No Match")</f>
        <v>No Match</v>
      </c>
      <c r="F819" s="1" t="str">
        <f t="shared" si="37"/>
        <v>OR</v>
      </c>
      <c r="G819" s="1" t="str">
        <f t="shared" si="38"/>
        <v>Review</v>
      </c>
    </row>
    <row r="820" spans="1:7" x14ac:dyDescent="0.35">
      <c r="A820" s="1" t="s">
        <v>1221</v>
      </c>
      <c r="B820" s="1"/>
      <c r="C820" s="1" t="s">
        <v>1299</v>
      </c>
      <c r="D820" s="1" t="str">
        <f t="shared" si="36"/>
        <v>Ottawa</v>
      </c>
      <c r="E820" s="1" t="str">
        <f>IFERROR(INDEX(Census_Metro_List!$A:$A,MATCH(D820&amp;"*",Census_Metro_List!$A:$A,0)),"No Match")</f>
        <v>No Match</v>
      </c>
      <c r="F820" s="1" t="str">
        <f t="shared" si="37"/>
        <v>KS</v>
      </c>
      <c r="G820" s="1" t="str">
        <f t="shared" si="38"/>
        <v>Review</v>
      </c>
    </row>
    <row r="821" spans="1:7" x14ac:dyDescent="0.35">
      <c r="A821" s="1" t="s">
        <v>1222</v>
      </c>
      <c r="B821" s="1"/>
      <c r="C821" s="1" t="s">
        <v>1299</v>
      </c>
      <c r="D821" s="1" t="str">
        <f t="shared" si="36"/>
        <v>New Ulm</v>
      </c>
      <c r="E821" s="1" t="str">
        <f>IFERROR(INDEX(Census_Metro_List!$A:$A,MATCH(D821&amp;"*",Census_Metro_List!$A:$A,0)),"No Match")</f>
        <v>No Match</v>
      </c>
      <c r="F821" s="1" t="str">
        <f t="shared" si="37"/>
        <v>MN</v>
      </c>
      <c r="G821" s="1" t="str">
        <f t="shared" si="38"/>
        <v>Review</v>
      </c>
    </row>
    <row r="822" spans="1:7" x14ac:dyDescent="0.35">
      <c r="A822" s="1" t="s">
        <v>1223</v>
      </c>
      <c r="B822" s="1"/>
      <c r="C822" s="1" t="s">
        <v>1299</v>
      </c>
      <c r="D822" s="1" t="str">
        <f t="shared" si="36"/>
        <v>Lexington</v>
      </c>
      <c r="E822" s="1" t="str">
        <f>IFERROR(INDEX(Census_Metro_List!$A:$A,MATCH(D822&amp;"*",Census_Metro_List!$A:$A,0)),"No Match")</f>
        <v>Lexington-Fayette, KY Metro Area</v>
      </c>
      <c r="F822" s="1" t="str">
        <f t="shared" si="37"/>
        <v>NE</v>
      </c>
      <c r="G822" s="1" t="str">
        <f t="shared" si="38"/>
        <v>Review</v>
      </c>
    </row>
    <row r="823" spans="1:7" x14ac:dyDescent="0.35">
      <c r="A823" s="1" t="s">
        <v>1224</v>
      </c>
      <c r="B823" s="1"/>
      <c r="C823" s="1" t="s">
        <v>1299</v>
      </c>
      <c r="D823" s="1" t="str">
        <f t="shared" si="36"/>
        <v>Great Bend</v>
      </c>
      <c r="E823" s="1" t="str">
        <f>IFERROR(INDEX(Census_Metro_List!$A:$A,MATCH(D823&amp;"*",Census_Metro_List!$A:$A,0)),"No Match")</f>
        <v>No Match</v>
      </c>
      <c r="F823" s="1" t="str">
        <f t="shared" si="37"/>
        <v>KS</v>
      </c>
      <c r="G823" s="1" t="str">
        <f t="shared" si="38"/>
        <v>Review</v>
      </c>
    </row>
    <row r="824" spans="1:7" x14ac:dyDescent="0.35">
      <c r="A824" s="1" t="s">
        <v>1225</v>
      </c>
      <c r="B824" s="1"/>
      <c r="C824" s="1" t="s">
        <v>1299</v>
      </c>
      <c r="D824" s="1" t="str">
        <f t="shared" si="36"/>
        <v>Spearfish</v>
      </c>
      <c r="E824" s="1" t="str">
        <f>IFERROR(INDEX(Census_Metro_List!$A:$A,MATCH(D824&amp;"*",Census_Metro_List!$A:$A,0)),"No Match")</f>
        <v>No Match</v>
      </c>
      <c r="F824" s="1" t="str">
        <f t="shared" si="37"/>
        <v>SD</v>
      </c>
      <c r="G824" s="1" t="str">
        <f t="shared" si="38"/>
        <v>Review</v>
      </c>
    </row>
    <row r="825" spans="1:7" x14ac:dyDescent="0.35">
      <c r="A825" s="1" t="s">
        <v>1226</v>
      </c>
      <c r="B825" s="1"/>
      <c r="C825" s="1" t="s">
        <v>1299</v>
      </c>
      <c r="D825" s="1" t="str">
        <f t="shared" si="36"/>
        <v>Wauchula</v>
      </c>
      <c r="E825" s="1" t="str">
        <f>IFERROR(INDEX(Census_Metro_List!$A:$A,MATCH(D825&amp;"*",Census_Metro_List!$A:$A,0)),"No Match")</f>
        <v>No Match</v>
      </c>
      <c r="F825" s="1" t="str">
        <f t="shared" si="37"/>
        <v>FL</v>
      </c>
      <c r="G825" s="1" t="str">
        <f t="shared" si="38"/>
        <v>Review</v>
      </c>
    </row>
    <row r="826" spans="1:7" x14ac:dyDescent="0.35">
      <c r="A826" s="1" t="s">
        <v>1227</v>
      </c>
      <c r="B826" s="1"/>
      <c r="C826" s="1" t="s">
        <v>1299</v>
      </c>
      <c r="D826" s="1" t="str">
        <f t="shared" si="36"/>
        <v>Marshall</v>
      </c>
      <c r="E826" s="1" t="str">
        <f>IFERROR(INDEX(Census_Metro_List!$A:$A,MATCH(D826&amp;"*",Census_Metro_List!$A:$A,0)),"No Match")</f>
        <v>No Match</v>
      </c>
      <c r="F826" s="1" t="str">
        <f t="shared" si="37"/>
        <v>MN</v>
      </c>
      <c r="G826" s="1" t="str">
        <f t="shared" si="38"/>
        <v>Review</v>
      </c>
    </row>
    <row r="827" spans="1:7" x14ac:dyDescent="0.35">
      <c r="A827" s="1" t="s">
        <v>1228</v>
      </c>
      <c r="B827" s="1"/>
      <c r="C827" s="1" t="s">
        <v>1299</v>
      </c>
      <c r="D827" s="1" t="str">
        <f t="shared" si="36"/>
        <v>Deming</v>
      </c>
      <c r="E827" s="1" t="str">
        <f>IFERROR(INDEX(Census_Metro_List!$A:$A,MATCH(D827&amp;"*",Census_Metro_List!$A:$A,0)),"No Match")</f>
        <v>No Match</v>
      </c>
      <c r="F827" s="1" t="str">
        <f t="shared" si="37"/>
        <v>NM</v>
      </c>
      <c r="G827" s="1" t="str">
        <f t="shared" si="38"/>
        <v>Review</v>
      </c>
    </row>
    <row r="828" spans="1:7" x14ac:dyDescent="0.35">
      <c r="A828" s="1" t="s">
        <v>1229</v>
      </c>
      <c r="B828" s="1"/>
      <c r="C828" s="1" t="s">
        <v>1299</v>
      </c>
      <c r="D828" s="1" t="str">
        <f t="shared" si="36"/>
        <v>Mexico</v>
      </c>
      <c r="E828" s="1" t="str">
        <f>IFERROR(INDEX(Census_Metro_List!$A:$A,MATCH(D828&amp;"*",Census_Metro_List!$A:$A,0)),"No Match")</f>
        <v>No Match</v>
      </c>
      <c r="F828" s="1" t="str">
        <f t="shared" si="37"/>
        <v>MO</v>
      </c>
      <c r="G828" s="1" t="str">
        <f t="shared" si="38"/>
        <v>Review</v>
      </c>
    </row>
    <row r="829" spans="1:7" x14ac:dyDescent="0.35">
      <c r="A829" s="1" t="s">
        <v>1230</v>
      </c>
      <c r="B829" s="1"/>
      <c r="C829" s="1" t="s">
        <v>1299</v>
      </c>
      <c r="D829" s="1" t="str">
        <f t="shared" si="36"/>
        <v>Fallon</v>
      </c>
      <c r="E829" s="1" t="str">
        <f>IFERROR(INDEX(Census_Metro_List!$A:$A,MATCH(D829&amp;"*",Census_Metro_List!$A:$A,0)),"No Match")</f>
        <v>No Match</v>
      </c>
      <c r="F829" s="1" t="str">
        <f t="shared" si="37"/>
        <v>NV</v>
      </c>
      <c r="G829" s="1" t="str">
        <f t="shared" si="38"/>
        <v>Review</v>
      </c>
    </row>
    <row r="830" spans="1:7" x14ac:dyDescent="0.35">
      <c r="A830" s="1" t="s">
        <v>1231</v>
      </c>
      <c r="B830" s="1"/>
      <c r="C830" s="1" t="s">
        <v>1299</v>
      </c>
      <c r="D830" s="1" t="str">
        <f t="shared" si="36"/>
        <v>Altus</v>
      </c>
      <c r="E830" s="1" t="str">
        <f>IFERROR(INDEX(Census_Metro_List!$A:$A,MATCH(D830&amp;"*",Census_Metro_List!$A:$A,0)),"No Match")</f>
        <v>No Match</v>
      </c>
      <c r="F830" s="1" t="str">
        <f t="shared" si="37"/>
        <v>OK</v>
      </c>
      <c r="G830" s="1" t="str">
        <f t="shared" si="38"/>
        <v>Review</v>
      </c>
    </row>
    <row r="831" spans="1:7" x14ac:dyDescent="0.35">
      <c r="A831" s="1" t="s">
        <v>1232</v>
      </c>
      <c r="B831" s="1"/>
      <c r="C831" s="1" t="s">
        <v>1299</v>
      </c>
      <c r="D831" s="1" t="str">
        <f t="shared" si="36"/>
        <v>Uvalde</v>
      </c>
      <c r="E831" s="1" t="str">
        <f>IFERROR(INDEX(Census_Metro_List!$A:$A,MATCH(D831&amp;"*",Census_Metro_List!$A:$A,0)),"No Match")</f>
        <v>No Match</v>
      </c>
      <c r="F831" s="1" t="str">
        <f t="shared" si="37"/>
        <v>TX</v>
      </c>
      <c r="G831" s="1" t="str">
        <f t="shared" si="38"/>
        <v>Review</v>
      </c>
    </row>
    <row r="832" spans="1:7" x14ac:dyDescent="0.35">
      <c r="A832" s="1" t="s">
        <v>1233</v>
      </c>
      <c r="B832" s="1"/>
      <c r="C832" s="1" t="s">
        <v>1299</v>
      </c>
      <c r="D832" s="1" t="str">
        <f t="shared" si="36"/>
        <v>Hailey</v>
      </c>
      <c r="E832" s="1" t="str">
        <f>IFERROR(INDEX(Census_Metro_List!$A:$A,MATCH(D832&amp;"*",Census_Metro_List!$A:$A,0)),"No Match")</f>
        <v>No Match</v>
      </c>
      <c r="F832" s="1" t="str">
        <f t="shared" si="37"/>
        <v>ID</v>
      </c>
      <c r="G832" s="1" t="str">
        <f t="shared" si="38"/>
        <v>Review</v>
      </c>
    </row>
    <row r="833" spans="1:7" x14ac:dyDescent="0.35">
      <c r="A833" s="1" t="s">
        <v>1234</v>
      </c>
      <c r="B833" s="1"/>
      <c r="C833" s="1" t="s">
        <v>1299</v>
      </c>
      <c r="D833" s="1" t="str">
        <f t="shared" si="36"/>
        <v>Steamboat Springs</v>
      </c>
      <c r="E833" s="1" t="str">
        <f>IFERROR(INDEX(Census_Metro_List!$A:$A,MATCH(D833&amp;"*",Census_Metro_List!$A:$A,0)),"No Match")</f>
        <v>No Match</v>
      </c>
      <c r="F833" s="1" t="str">
        <f t="shared" si="37"/>
        <v>CO</v>
      </c>
      <c r="G833" s="1" t="str">
        <f t="shared" si="38"/>
        <v>Review</v>
      </c>
    </row>
    <row r="834" spans="1:7" x14ac:dyDescent="0.35">
      <c r="A834" s="1" t="s">
        <v>1235</v>
      </c>
      <c r="B834" s="1"/>
      <c r="C834" s="1" t="s">
        <v>1299</v>
      </c>
      <c r="D834" s="1" t="str">
        <f t="shared" ref="D834:D895" si="39">LEFT(A834,FIND(",",A834)-1)</f>
        <v>Summerville</v>
      </c>
      <c r="E834" s="1" t="str">
        <f>IFERROR(INDEX(Census_Metro_List!$A:$A,MATCH(D834&amp;"*",Census_Metro_List!$A:$A,0)),"No Match")</f>
        <v>No Match</v>
      </c>
      <c r="F834" s="1" t="str">
        <f t="shared" ref="F834:F895" si="40">TRIM(RIGHT(A834,LEN(A834)-FIND(",",A834)))</f>
        <v>GA</v>
      </c>
      <c r="G834" s="1" t="str">
        <f t="shared" ref="G834:G895" si="41">IF(E834="No Match","Review",IF(ISNUMBER(SEARCH(F834,E834)),"Likely Match","Review"))</f>
        <v>Review</v>
      </c>
    </row>
    <row r="835" spans="1:7" x14ac:dyDescent="0.35">
      <c r="A835" s="1" t="s">
        <v>1236</v>
      </c>
      <c r="B835" s="1"/>
      <c r="C835" s="1" t="s">
        <v>1299</v>
      </c>
      <c r="D835" s="1" t="str">
        <f t="shared" si="39"/>
        <v>Moberly</v>
      </c>
      <c r="E835" s="1" t="str">
        <f>IFERROR(INDEX(Census_Metro_List!$A:$A,MATCH(D835&amp;"*",Census_Metro_List!$A:$A,0)),"No Match")</f>
        <v>No Match</v>
      </c>
      <c r="F835" s="1" t="str">
        <f t="shared" si="40"/>
        <v>MO</v>
      </c>
      <c r="G835" s="1" t="str">
        <f t="shared" si="41"/>
        <v>Review</v>
      </c>
    </row>
    <row r="836" spans="1:7" x14ac:dyDescent="0.35">
      <c r="A836" s="1" t="s">
        <v>1237</v>
      </c>
      <c r="B836" s="1"/>
      <c r="C836" s="1" t="s">
        <v>1299</v>
      </c>
      <c r="D836" s="1" t="str">
        <f t="shared" si="39"/>
        <v>Middlesborough</v>
      </c>
      <c r="E836" s="1" t="str">
        <f>IFERROR(INDEX(Census_Metro_List!$A:$A,MATCH(D836&amp;"*",Census_Metro_List!$A:$A,0)),"No Match")</f>
        <v>No Match</v>
      </c>
      <c r="F836" s="1" t="str">
        <f t="shared" si="40"/>
        <v>KY</v>
      </c>
      <c r="G836" s="1" t="str">
        <f t="shared" si="41"/>
        <v>Review</v>
      </c>
    </row>
    <row r="837" spans="1:7" x14ac:dyDescent="0.35">
      <c r="A837" s="1" t="s">
        <v>1238</v>
      </c>
      <c r="B837" s="1"/>
      <c r="C837" s="1" t="s">
        <v>1299</v>
      </c>
      <c r="D837" s="1" t="str">
        <f t="shared" si="39"/>
        <v>Woodward</v>
      </c>
      <c r="E837" s="1" t="str">
        <f>IFERROR(INDEX(Census_Metro_List!$A:$A,MATCH(D837&amp;"*",Census_Metro_List!$A:$A,0)),"No Match")</f>
        <v>No Match</v>
      </c>
      <c r="F837" s="1" t="str">
        <f t="shared" si="40"/>
        <v>OK</v>
      </c>
      <c r="G837" s="1" t="str">
        <f t="shared" si="41"/>
        <v>Review</v>
      </c>
    </row>
    <row r="838" spans="1:7" x14ac:dyDescent="0.35">
      <c r="A838" s="1" t="s">
        <v>1239</v>
      </c>
      <c r="B838" s="1"/>
      <c r="C838" s="1" t="s">
        <v>1299</v>
      </c>
      <c r="D838" s="1" t="str">
        <f t="shared" si="39"/>
        <v>Prineville</v>
      </c>
      <c r="E838" s="1" t="str">
        <f>IFERROR(INDEX(Census_Metro_List!$A:$A,MATCH(D838&amp;"*",Census_Metro_List!$A:$A,0)),"No Match")</f>
        <v>No Match</v>
      </c>
      <c r="F838" s="1" t="str">
        <f t="shared" si="40"/>
        <v>OR</v>
      </c>
      <c r="G838" s="1" t="str">
        <f t="shared" si="41"/>
        <v>Review</v>
      </c>
    </row>
    <row r="839" spans="1:7" x14ac:dyDescent="0.35">
      <c r="A839" s="1" t="s">
        <v>1240</v>
      </c>
      <c r="B839" s="1"/>
      <c r="C839" s="1" t="s">
        <v>1299</v>
      </c>
      <c r="D839" s="1" t="str">
        <f t="shared" si="39"/>
        <v>Hood River</v>
      </c>
      <c r="E839" s="1" t="str">
        <f>IFERROR(INDEX(Census_Metro_List!$A:$A,MATCH(D839&amp;"*",Census_Metro_List!$A:$A,0)),"No Match")</f>
        <v>No Match</v>
      </c>
      <c r="F839" s="1" t="str">
        <f t="shared" si="40"/>
        <v>OR</v>
      </c>
      <c r="G839" s="1" t="str">
        <f t="shared" si="41"/>
        <v>Review</v>
      </c>
    </row>
    <row r="840" spans="1:7" x14ac:dyDescent="0.35">
      <c r="A840" s="1" t="s">
        <v>1241</v>
      </c>
      <c r="B840" s="1"/>
      <c r="C840" s="1" t="s">
        <v>1299</v>
      </c>
      <c r="D840" s="1" t="str">
        <f t="shared" si="39"/>
        <v>Forrest City</v>
      </c>
      <c r="E840" s="1" t="str">
        <f>IFERROR(INDEX(Census_Metro_List!$A:$A,MATCH(D840&amp;"*",Census_Metro_List!$A:$A,0)),"No Match")</f>
        <v>No Match</v>
      </c>
      <c r="F840" s="1" t="str">
        <f t="shared" si="40"/>
        <v>AR</v>
      </c>
      <c r="G840" s="1" t="str">
        <f t="shared" si="41"/>
        <v>Review</v>
      </c>
    </row>
    <row r="841" spans="1:7" x14ac:dyDescent="0.35">
      <c r="A841" s="1" t="s">
        <v>1242</v>
      </c>
      <c r="B841" s="1"/>
      <c r="C841" s="1" t="s">
        <v>1299</v>
      </c>
      <c r="D841" s="1" t="str">
        <f t="shared" si="39"/>
        <v>Connersville</v>
      </c>
      <c r="E841" s="1" t="str">
        <f>IFERROR(INDEX(Census_Metro_List!$A:$A,MATCH(D841&amp;"*",Census_Metro_List!$A:$A,0)),"No Match")</f>
        <v>No Match</v>
      </c>
      <c r="F841" s="1" t="str">
        <f t="shared" si="40"/>
        <v>IN</v>
      </c>
      <c r="G841" s="1" t="str">
        <f t="shared" si="41"/>
        <v>Review</v>
      </c>
    </row>
    <row r="842" spans="1:7" x14ac:dyDescent="0.35">
      <c r="A842" s="1" t="s">
        <v>1243</v>
      </c>
      <c r="B842" s="1"/>
      <c r="C842" s="1" t="s">
        <v>1299</v>
      </c>
      <c r="D842" s="1" t="str">
        <f t="shared" si="39"/>
        <v>Mitchell</v>
      </c>
      <c r="E842" s="1" t="str">
        <f>IFERROR(INDEX(Census_Metro_List!$A:$A,MATCH(D842&amp;"*",Census_Metro_List!$A:$A,0)),"No Match")</f>
        <v>No Match</v>
      </c>
      <c r="F842" s="1" t="str">
        <f t="shared" si="40"/>
        <v>SD</v>
      </c>
      <c r="G842" s="1" t="str">
        <f t="shared" si="41"/>
        <v>Review</v>
      </c>
    </row>
    <row r="843" spans="1:7" x14ac:dyDescent="0.35">
      <c r="A843" s="1" t="s">
        <v>1244</v>
      </c>
      <c r="B843" s="1"/>
      <c r="C843" s="1" t="s">
        <v>1299</v>
      </c>
      <c r="D843" s="1" t="str">
        <f t="shared" si="39"/>
        <v>Marshall</v>
      </c>
      <c r="E843" s="1" t="str">
        <f>IFERROR(INDEX(Census_Metro_List!$A:$A,MATCH(D843&amp;"*",Census_Metro_List!$A:$A,0)),"No Match")</f>
        <v>No Match</v>
      </c>
      <c r="F843" s="1" t="str">
        <f t="shared" si="40"/>
        <v>MO</v>
      </c>
      <c r="G843" s="1" t="str">
        <f t="shared" si="41"/>
        <v>Review</v>
      </c>
    </row>
    <row r="844" spans="1:7" x14ac:dyDescent="0.35">
      <c r="A844" s="1" t="s">
        <v>1245</v>
      </c>
      <c r="B844" s="1"/>
      <c r="C844" s="1" t="s">
        <v>1299</v>
      </c>
      <c r="D844" s="1" t="str">
        <f t="shared" si="39"/>
        <v>Brookings</v>
      </c>
      <c r="E844" s="1" t="str">
        <f>IFERROR(INDEX(Census_Metro_List!$A:$A,MATCH(D844&amp;"*",Census_Metro_List!$A:$A,0)),"No Match")</f>
        <v>No Match</v>
      </c>
      <c r="F844" s="1" t="str">
        <f t="shared" si="40"/>
        <v>OR</v>
      </c>
      <c r="G844" s="1" t="str">
        <f t="shared" si="41"/>
        <v>Review</v>
      </c>
    </row>
    <row r="845" spans="1:7" x14ac:dyDescent="0.35">
      <c r="A845" s="1" t="s">
        <v>1246</v>
      </c>
      <c r="B845" s="1"/>
      <c r="C845" s="1" t="s">
        <v>1299</v>
      </c>
      <c r="D845" s="1" t="str">
        <f t="shared" si="39"/>
        <v>Yankton</v>
      </c>
      <c r="E845" s="1" t="str">
        <f>IFERROR(INDEX(Census_Metro_List!$A:$A,MATCH(D845&amp;"*",Census_Metro_List!$A:$A,0)),"No Match")</f>
        <v>No Match</v>
      </c>
      <c r="F845" s="1" t="str">
        <f t="shared" si="40"/>
        <v>SD</v>
      </c>
      <c r="G845" s="1" t="str">
        <f t="shared" si="41"/>
        <v>Review</v>
      </c>
    </row>
    <row r="846" spans="1:7" x14ac:dyDescent="0.35">
      <c r="A846" s="1" t="s">
        <v>1247</v>
      </c>
      <c r="B846" s="1"/>
      <c r="C846" s="1" t="s">
        <v>1299</v>
      </c>
      <c r="D846" s="1" t="str">
        <f t="shared" si="39"/>
        <v>Wahpeton</v>
      </c>
      <c r="E846" s="1" t="str">
        <f>IFERROR(INDEX(Census_Metro_List!$A:$A,MATCH(D846&amp;"*",Census_Metro_List!$A:$A,0)),"No Match")</f>
        <v>No Match</v>
      </c>
      <c r="F846" s="1" t="str">
        <f t="shared" si="40"/>
        <v>ND</v>
      </c>
      <c r="G846" s="1" t="str">
        <f t="shared" si="41"/>
        <v>Review</v>
      </c>
    </row>
    <row r="847" spans="1:7" x14ac:dyDescent="0.35">
      <c r="A847" s="1" t="s">
        <v>1248</v>
      </c>
      <c r="B847" s="1"/>
      <c r="C847" s="1" t="s">
        <v>1299</v>
      </c>
      <c r="D847" s="1" t="str">
        <f t="shared" si="39"/>
        <v>Magnolia</v>
      </c>
      <c r="E847" s="1" t="str">
        <f>IFERROR(INDEX(Census_Metro_List!$A:$A,MATCH(D847&amp;"*",Census_Metro_List!$A:$A,0)),"No Match")</f>
        <v>No Match</v>
      </c>
      <c r="F847" s="1" t="str">
        <f t="shared" si="40"/>
        <v>AR</v>
      </c>
      <c r="G847" s="1" t="str">
        <f t="shared" si="41"/>
        <v>Review</v>
      </c>
    </row>
    <row r="848" spans="1:7" x14ac:dyDescent="0.35">
      <c r="A848" s="1" t="s">
        <v>1249</v>
      </c>
      <c r="B848" s="1"/>
      <c r="C848" s="1" t="s">
        <v>1299</v>
      </c>
      <c r="D848" s="1" t="str">
        <f t="shared" si="39"/>
        <v>Elk City</v>
      </c>
      <c r="E848" s="1" t="str">
        <f>IFERROR(INDEX(Census_Metro_List!$A:$A,MATCH(D848&amp;"*",Census_Metro_List!$A:$A,0)),"No Match")</f>
        <v>No Match</v>
      </c>
      <c r="F848" s="1" t="str">
        <f t="shared" si="40"/>
        <v>OK</v>
      </c>
      <c r="G848" s="1" t="str">
        <f t="shared" si="41"/>
        <v>Review</v>
      </c>
    </row>
    <row r="849" spans="1:7" x14ac:dyDescent="0.35">
      <c r="A849" s="1" t="s">
        <v>1250</v>
      </c>
      <c r="B849" s="1"/>
      <c r="C849" s="1" t="s">
        <v>1299</v>
      </c>
      <c r="D849" s="1" t="str">
        <f t="shared" si="39"/>
        <v>Liberal</v>
      </c>
      <c r="E849" s="1" t="str">
        <f>IFERROR(INDEX(Census_Metro_List!$A:$A,MATCH(D849&amp;"*",Census_Metro_List!$A:$A,0)),"No Match")</f>
        <v>No Match</v>
      </c>
      <c r="F849" s="1" t="str">
        <f t="shared" si="40"/>
        <v>KS</v>
      </c>
      <c r="G849" s="1" t="str">
        <f t="shared" si="41"/>
        <v>Review</v>
      </c>
    </row>
    <row r="850" spans="1:7" x14ac:dyDescent="0.35">
      <c r="A850" s="1" t="s">
        <v>1251</v>
      </c>
      <c r="B850" s="1"/>
      <c r="C850" s="1" t="s">
        <v>1299</v>
      </c>
      <c r="D850" s="1" t="str">
        <f t="shared" si="39"/>
        <v>Worthington</v>
      </c>
      <c r="E850" s="1" t="str">
        <f>IFERROR(INDEX(Census_Metro_List!$A:$A,MATCH(D850&amp;"*",Census_Metro_List!$A:$A,0)),"No Match")</f>
        <v>No Match</v>
      </c>
      <c r="F850" s="1" t="str">
        <f t="shared" si="40"/>
        <v>MN</v>
      </c>
      <c r="G850" s="1" t="str">
        <f t="shared" si="41"/>
        <v>Review</v>
      </c>
    </row>
    <row r="851" spans="1:7" x14ac:dyDescent="0.35">
      <c r="A851" s="1" t="s">
        <v>1252</v>
      </c>
      <c r="B851" s="1"/>
      <c r="C851" s="1" t="s">
        <v>1299</v>
      </c>
      <c r="D851" s="1" t="str">
        <f t="shared" si="39"/>
        <v>Oskaloosa</v>
      </c>
      <c r="E851" s="1" t="str">
        <f>IFERROR(INDEX(Census_Metro_List!$A:$A,MATCH(D851&amp;"*",Census_Metro_List!$A:$A,0)),"No Match")</f>
        <v>No Match</v>
      </c>
      <c r="F851" s="1" t="str">
        <f t="shared" si="40"/>
        <v>IA</v>
      </c>
      <c r="G851" s="1" t="str">
        <f t="shared" si="41"/>
        <v>Review</v>
      </c>
    </row>
    <row r="852" spans="1:7" x14ac:dyDescent="0.35">
      <c r="A852" s="1" t="s">
        <v>1253</v>
      </c>
      <c r="B852" s="1"/>
      <c r="C852" s="1" t="s">
        <v>1299</v>
      </c>
      <c r="D852" s="1" t="str">
        <f t="shared" si="39"/>
        <v>Pampa</v>
      </c>
      <c r="E852" s="1" t="str">
        <f>IFERROR(INDEX(Census_Metro_List!$A:$A,MATCH(D852&amp;"*",Census_Metro_List!$A:$A,0)),"No Match")</f>
        <v>No Match</v>
      </c>
      <c r="F852" s="1" t="str">
        <f t="shared" si="40"/>
        <v>TX</v>
      </c>
      <c r="G852" s="1" t="str">
        <f t="shared" si="41"/>
        <v>Review</v>
      </c>
    </row>
    <row r="853" spans="1:7" x14ac:dyDescent="0.35">
      <c r="A853" s="1" t="s">
        <v>1254</v>
      </c>
      <c r="B853" s="1"/>
      <c r="C853" s="1" t="s">
        <v>1299</v>
      </c>
      <c r="D853" s="1" t="str">
        <f t="shared" si="39"/>
        <v>Clarksdale</v>
      </c>
      <c r="E853" s="1" t="str">
        <f>IFERROR(INDEX(Census_Metro_List!$A:$A,MATCH(D853&amp;"*",Census_Metro_List!$A:$A,0)),"No Match")</f>
        <v>No Match</v>
      </c>
      <c r="F853" s="1" t="str">
        <f t="shared" si="40"/>
        <v>MS</v>
      </c>
      <c r="G853" s="1" t="str">
        <f t="shared" si="41"/>
        <v>Review</v>
      </c>
    </row>
    <row r="854" spans="1:7" x14ac:dyDescent="0.35">
      <c r="A854" s="1" t="s">
        <v>1255</v>
      </c>
      <c r="B854" s="1"/>
      <c r="C854" s="1" t="s">
        <v>1299</v>
      </c>
      <c r="D854" s="1" t="str">
        <f t="shared" si="39"/>
        <v>Sterling</v>
      </c>
      <c r="E854" s="1" t="str">
        <f>IFERROR(INDEX(Census_Metro_List!$A:$A,MATCH(D854&amp;"*",Census_Metro_List!$A:$A,0)),"No Match")</f>
        <v>No Match</v>
      </c>
      <c r="F854" s="1" t="str">
        <f t="shared" si="40"/>
        <v>CO</v>
      </c>
      <c r="G854" s="1" t="str">
        <f t="shared" si="41"/>
        <v>Review</v>
      </c>
    </row>
    <row r="855" spans="1:7" x14ac:dyDescent="0.35">
      <c r="A855" s="1" t="s">
        <v>1256</v>
      </c>
      <c r="B855" s="1"/>
      <c r="C855" s="1" t="s">
        <v>1299</v>
      </c>
      <c r="D855" s="1" t="str">
        <f t="shared" si="39"/>
        <v>Beatrice</v>
      </c>
      <c r="E855" s="1" t="str">
        <f>IFERROR(INDEX(Census_Metro_List!$A:$A,MATCH(D855&amp;"*",Census_Metro_List!$A:$A,0)),"No Match")</f>
        <v>No Match</v>
      </c>
      <c r="F855" s="1" t="str">
        <f t="shared" si="40"/>
        <v>NE</v>
      </c>
      <c r="G855" s="1" t="str">
        <f t="shared" si="41"/>
        <v>Review</v>
      </c>
    </row>
    <row r="856" spans="1:7" x14ac:dyDescent="0.35">
      <c r="A856" s="1" t="s">
        <v>1257</v>
      </c>
      <c r="B856" s="1"/>
      <c r="C856" s="1" t="s">
        <v>1299</v>
      </c>
      <c r="D856" s="1" t="str">
        <f t="shared" si="39"/>
        <v>Jamestown</v>
      </c>
      <c r="E856" s="1" t="str">
        <f>IFERROR(INDEX(Census_Metro_List!$A:$A,MATCH(D856&amp;"*",Census_Metro_List!$A:$A,0)),"No Match")</f>
        <v>No Match</v>
      </c>
      <c r="F856" s="1" t="str">
        <f t="shared" si="40"/>
        <v>ND</v>
      </c>
      <c r="G856" s="1" t="str">
        <f t="shared" si="41"/>
        <v>Review</v>
      </c>
    </row>
    <row r="857" spans="1:7" x14ac:dyDescent="0.35">
      <c r="A857" s="1" t="s">
        <v>1258</v>
      </c>
      <c r="B857" s="1"/>
      <c r="C857" s="1" t="s">
        <v>1299</v>
      </c>
      <c r="D857" s="1" t="str">
        <f t="shared" si="39"/>
        <v>Levelland</v>
      </c>
      <c r="E857" s="1" t="str">
        <f>IFERROR(INDEX(Census_Metro_List!$A:$A,MATCH(D857&amp;"*",Census_Metro_List!$A:$A,0)),"No Match")</f>
        <v>No Match</v>
      </c>
      <c r="F857" s="1" t="str">
        <f t="shared" si="40"/>
        <v>TX</v>
      </c>
      <c r="G857" s="1" t="str">
        <f t="shared" si="41"/>
        <v>Review</v>
      </c>
    </row>
    <row r="858" spans="1:7" x14ac:dyDescent="0.35">
      <c r="A858" s="1" t="s">
        <v>1259</v>
      </c>
      <c r="B858" s="1"/>
      <c r="C858" s="1" t="s">
        <v>1299</v>
      </c>
      <c r="D858" s="1" t="str">
        <f t="shared" si="39"/>
        <v>Grenada</v>
      </c>
      <c r="E858" s="1" t="str">
        <f>IFERROR(INDEX(Census_Metro_List!$A:$A,MATCH(D858&amp;"*",Census_Metro_List!$A:$A,0)),"No Match")</f>
        <v>No Match</v>
      </c>
      <c r="F858" s="1" t="str">
        <f t="shared" si="40"/>
        <v>MS</v>
      </c>
      <c r="G858" s="1" t="str">
        <f t="shared" si="41"/>
        <v>Review</v>
      </c>
    </row>
    <row r="859" spans="1:7" x14ac:dyDescent="0.35">
      <c r="A859" s="1" t="s">
        <v>1260</v>
      </c>
      <c r="B859" s="1"/>
      <c r="C859" s="1" t="s">
        <v>1299</v>
      </c>
      <c r="D859" s="1" t="str">
        <f t="shared" si="39"/>
        <v>Maryville</v>
      </c>
      <c r="E859" s="1" t="str">
        <f>IFERROR(INDEX(Census_Metro_List!$A:$A,MATCH(D859&amp;"*",Census_Metro_List!$A:$A,0)),"No Match")</f>
        <v>No Match</v>
      </c>
      <c r="F859" s="1" t="str">
        <f t="shared" si="40"/>
        <v>MO</v>
      </c>
      <c r="G859" s="1" t="str">
        <f t="shared" si="41"/>
        <v>Review</v>
      </c>
    </row>
    <row r="860" spans="1:7" x14ac:dyDescent="0.35">
      <c r="A860" s="1" t="s">
        <v>1261</v>
      </c>
      <c r="B860" s="1"/>
      <c r="C860" s="1" t="s">
        <v>1299</v>
      </c>
      <c r="D860" s="1" t="str">
        <f t="shared" si="39"/>
        <v>Arkadelphia</v>
      </c>
      <c r="E860" s="1" t="str">
        <f>IFERROR(INDEX(Census_Metro_List!$A:$A,MATCH(D860&amp;"*",Census_Metro_List!$A:$A,0)),"No Match")</f>
        <v>No Match</v>
      </c>
      <c r="F860" s="1" t="str">
        <f t="shared" si="40"/>
        <v>AR</v>
      </c>
      <c r="G860" s="1" t="str">
        <f t="shared" si="41"/>
        <v>Review</v>
      </c>
    </row>
    <row r="861" spans="1:7" x14ac:dyDescent="0.35">
      <c r="A861" s="1" t="s">
        <v>1262</v>
      </c>
      <c r="B861" s="1"/>
      <c r="C861" s="1" t="s">
        <v>1299</v>
      </c>
      <c r="D861" s="1" t="str">
        <f t="shared" si="39"/>
        <v>Dumas</v>
      </c>
      <c r="E861" s="1" t="str">
        <f>IFERROR(INDEX(Census_Metro_List!$A:$A,MATCH(D861&amp;"*",Census_Metro_List!$A:$A,0)),"No Match")</f>
        <v>No Match</v>
      </c>
      <c r="F861" s="1" t="str">
        <f t="shared" si="40"/>
        <v>TX</v>
      </c>
      <c r="G861" s="1" t="str">
        <f t="shared" si="41"/>
        <v>Review</v>
      </c>
    </row>
    <row r="862" spans="1:7" x14ac:dyDescent="0.35">
      <c r="A862" s="1" t="s">
        <v>1263</v>
      </c>
      <c r="B862" s="1"/>
      <c r="C862" s="1" t="s">
        <v>1299</v>
      </c>
      <c r="D862" s="1" t="str">
        <f t="shared" si="39"/>
        <v>Guymon</v>
      </c>
      <c r="E862" s="1" t="str">
        <f>IFERROR(INDEX(Census_Metro_List!$A:$A,MATCH(D862&amp;"*",Census_Metro_List!$A:$A,0)),"No Match")</f>
        <v>No Match</v>
      </c>
      <c r="F862" s="1" t="str">
        <f t="shared" si="40"/>
        <v>OK</v>
      </c>
      <c r="G862" s="1" t="str">
        <f t="shared" si="41"/>
        <v>Review</v>
      </c>
    </row>
    <row r="863" spans="1:7" x14ac:dyDescent="0.35">
      <c r="A863" s="1" t="s">
        <v>1264</v>
      </c>
      <c r="B863" s="1"/>
      <c r="C863" s="1" t="s">
        <v>1299</v>
      </c>
      <c r="D863" s="1" t="str">
        <f t="shared" si="39"/>
        <v>Borger</v>
      </c>
      <c r="E863" s="1" t="str">
        <f>IFERROR(INDEX(Census_Metro_List!$A:$A,MATCH(D863&amp;"*",Census_Metro_List!$A:$A,0)),"No Match")</f>
        <v>No Match</v>
      </c>
      <c r="F863" s="1" t="str">
        <f t="shared" si="40"/>
        <v>TX</v>
      </c>
      <c r="G863" s="1" t="str">
        <f t="shared" si="41"/>
        <v>Review</v>
      </c>
    </row>
    <row r="864" spans="1:7" x14ac:dyDescent="0.35">
      <c r="A864" s="1" t="s">
        <v>1265</v>
      </c>
      <c r="B864" s="1"/>
      <c r="C864" s="1" t="s">
        <v>1299</v>
      </c>
      <c r="D864" s="1" t="str">
        <f t="shared" si="39"/>
        <v>Pierre</v>
      </c>
      <c r="E864" s="1" t="str">
        <f>IFERROR(INDEX(Census_Metro_List!$A:$A,MATCH(D864&amp;"*",Census_Metro_List!$A:$A,0)),"No Match")</f>
        <v>No Match</v>
      </c>
      <c r="F864" s="1" t="str">
        <f t="shared" si="40"/>
        <v>SD</v>
      </c>
      <c r="G864" s="1" t="str">
        <f t="shared" si="41"/>
        <v>Review</v>
      </c>
    </row>
    <row r="865" spans="1:7" x14ac:dyDescent="0.35">
      <c r="A865" s="1" t="s">
        <v>1266</v>
      </c>
      <c r="B865" s="1"/>
      <c r="C865" s="1" t="s">
        <v>1299</v>
      </c>
      <c r="D865" s="1" t="str">
        <f t="shared" si="39"/>
        <v>Huron</v>
      </c>
      <c r="E865" s="1" t="str">
        <f>IFERROR(INDEX(Census_Metro_List!$A:$A,MATCH(D865&amp;"*",Census_Metro_List!$A:$A,0)),"No Match")</f>
        <v>No Match</v>
      </c>
      <c r="F865" s="1" t="str">
        <f t="shared" si="40"/>
        <v>SD</v>
      </c>
      <c r="G865" s="1" t="str">
        <f t="shared" si="41"/>
        <v>Review</v>
      </c>
    </row>
    <row r="866" spans="1:7" x14ac:dyDescent="0.35">
      <c r="A866" s="1" t="s">
        <v>1267</v>
      </c>
      <c r="B866" s="1"/>
      <c r="C866" s="1" t="s">
        <v>1299</v>
      </c>
      <c r="D866" s="1" t="str">
        <f t="shared" si="39"/>
        <v>Storm Lake</v>
      </c>
      <c r="E866" s="1" t="str">
        <f>IFERROR(INDEX(Census_Metro_List!$A:$A,MATCH(D866&amp;"*",Census_Metro_List!$A:$A,0)),"No Match")</f>
        <v>No Match</v>
      </c>
      <c r="F866" s="1" t="str">
        <f t="shared" si="40"/>
        <v>IA</v>
      </c>
      <c r="G866" s="1" t="str">
        <f t="shared" si="41"/>
        <v>Review</v>
      </c>
    </row>
    <row r="867" spans="1:7" x14ac:dyDescent="0.35">
      <c r="A867" s="1" t="s">
        <v>1268</v>
      </c>
      <c r="B867" s="1"/>
      <c r="C867" s="1" t="s">
        <v>1299</v>
      </c>
      <c r="D867" s="1" t="str">
        <f t="shared" si="39"/>
        <v>Cordele</v>
      </c>
      <c r="E867" s="1" t="str">
        <f>IFERROR(INDEX(Census_Metro_List!$A:$A,MATCH(D867&amp;"*",Census_Metro_List!$A:$A,0)),"No Match")</f>
        <v>No Match</v>
      </c>
      <c r="F867" s="1" t="str">
        <f t="shared" si="40"/>
        <v>GA</v>
      </c>
      <c r="G867" s="1" t="str">
        <f t="shared" si="41"/>
        <v>Review</v>
      </c>
    </row>
    <row r="868" spans="1:7" x14ac:dyDescent="0.35">
      <c r="A868" s="1" t="s">
        <v>1269</v>
      </c>
      <c r="B868" s="1"/>
      <c r="C868" s="1" t="s">
        <v>1299</v>
      </c>
      <c r="D868" s="1" t="str">
        <f t="shared" si="39"/>
        <v>Evanston</v>
      </c>
      <c r="E868" s="1" t="str">
        <f>IFERROR(INDEX(Census_Metro_List!$A:$A,MATCH(D868&amp;"*",Census_Metro_List!$A:$A,0)),"No Match")</f>
        <v>No Match</v>
      </c>
      <c r="F868" s="1" t="str">
        <f t="shared" si="40"/>
        <v>WY</v>
      </c>
      <c r="G868" s="1" t="str">
        <f t="shared" si="41"/>
        <v>Review</v>
      </c>
    </row>
    <row r="869" spans="1:7" x14ac:dyDescent="0.35">
      <c r="A869" s="1" t="s">
        <v>1270</v>
      </c>
      <c r="B869" s="1"/>
      <c r="C869" s="1" t="s">
        <v>1299</v>
      </c>
      <c r="D869" s="1" t="str">
        <f t="shared" si="39"/>
        <v>Raymondville</v>
      </c>
      <c r="E869" s="1" t="str">
        <f>IFERROR(INDEX(Census_Metro_List!$A:$A,MATCH(D869&amp;"*",Census_Metro_List!$A:$A,0)),"No Match")</f>
        <v>No Match</v>
      </c>
      <c r="F869" s="1" t="str">
        <f t="shared" si="40"/>
        <v>TX</v>
      </c>
      <c r="G869" s="1" t="str">
        <f t="shared" si="41"/>
        <v>Review</v>
      </c>
    </row>
    <row r="870" spans="1:7" x14ac:dyDescent="0.35">
      <c r="A870" s="1" t="s">
        <v>1271</v>
      </c>
      <c r="B870" s="1"/>
      <c r="C870" s="1" t="s">
        <v>1299</v>
      </c>
      <c r="D870" s="1" t="str">
        <f t="shared" si="39"/>
        <v>Port Lavaca</v>
      </c>
      <c r="E870" s="1" t="str">
        <f>IFERROR(INDEX(Census_Metro_List!$A:$A,MATCH(D870&amp;"*",Census_Metro_List!$A:$A,0)),"No Match")</f>
        <v>No Match</v>
      </c>
      <c r="F870" s="1" t="str">
        <f t="shared" si="40"/>
        <v>TX</v>
      </c>
      <c r="G870" s="1" t="str">
        <f t="shared" si="41"/>
        <v>Review</v>
      </c>
    </row>
    <row r="871" spans="1:7" x14ac:dyDescent="0.35">
      <c r="A871" s="1" t="s">
        <v>1272</v>
      </c>
      <c r="B871" s="1"/>
      <c r="C871" s="1" t="s">
        <v>1299</v>
      </c>
      <c r="D871" s="1" t="str">
        <f t="shared" si="39"/>
        <v>Othello</v>
      </c>
      <c r="E871" s="1" t="str">
        <f>IFERROR(INDEX(Census_Metro_List!$A:$A,MATCH(D871&amp;"*",Census_Metro_List!$A:$A,0)),"No Match")</f>
        <v>No Match</v>
      </c>
      <c r="F871" s="1" t="str">
        <f t="shared" si="40"/>
        <v>WA</v>
      </c>
      <c r="G871" s="1" t="str">
        <f t="shared" si="41"/>
        <v>Review</v>
      </c>
    </row>
    <row r="872" spans="1:7" x14ac:dyDescent="0.35">
      <c r="A872" s="1" t="s">
        <v>1273</v>
      </c>
      <c r="B872" s="1"/>
      <c r="C872" s="1" t="s">
        <v>1299</v>
      </c>
      <c r="D872" s="1" t="str">
        <f t="shared" si="39"/>
        <v>Vineyard Haven</v>
      </c>
      <c r="E872" s="1" t="str">
        <f>IFERROR(INDEX(Census_Metro_List!$A:$A,MATCH(D872&amp;"*",Census_Metro_List!$A:$A,0)),"No Match")</f>
        <v>No Match</v>
      </c>
      <c r="F872" s="1" t="str">
        <f t="shared" si="40"/>
        <v>MA</v>
      </c>
      <c r="G872" s="1" t="str">
        <f t="shared" si="41"/>
        <v>Review</v>
      </c>
    </row>
    <row r="873" spans="1:7" x14ac:dyDescent="0.35">
      <c r="A873" s="1" t="s">
        <v>1274</v>
      </c>
      <c r="B873" s="1"/>
      <c r="C873" s="1" t="s">
        <v>1299</v>
      </c>
      <c r="D873" s="1" t="str">
        <f t="shared" si="39"/>
        <v>Parsons</v>
      </c>
      <c r="E873" s="1" t="str">
        <f>IFERROR(INDEX(Census_Metro_List!$A:$A,MATCH(D873&amp;"*",Census_Metro_List!$A:$A,0)),"No Match")</f>
        <v>No Match</v>
      </c>
      <c r="F873" s="1" t="str">
        <f t="shared" si="40"/>
        <v>KS</v>
      </c>
      <c r="G873" s="1" t="str">
        <f t="shared" si="41"/>
        <v>Review</v>
      </c>
    </row>
    <row r="874" spans="1:7" x14ac:dyDescent="0.35">
      <c r="A874" s="1" t="s">
        <v>1275</v>
      </c>
      <c r="B874" s="1"/>
      <c r="C874" s="1" t="s">
        <v>1299</v>
      </c>
      <c r="D874" s="1" t="str">
        <f t="shared" si="39"/>
        <v>Price</v>
      </c>
      <c r="E874" s="1" t="str">
        <f>IFERROR(INDEX(Census_Metro_List!$A:$A,MATCH(D874&amp;"*",Census_Metro_List!$A:$A,0)),"No Match")</f>
        <v>No Match</v>
      </c>
      <c r="F874" s="1" t="str">
        <f t="shared" si="40"/>
        <v>UT</v>
      </c>
      <c r="G874" s="1" t="str">
        <f t="shared" si="41"/>
        <v>Review</v>
      </c>
    </row>
    <row r="875" spans="1:7" x14ac:dyDescent="0.35">
      <c r="A875" s="1" t="s">
        <v>1276</v>
      </c>
      <c r="B875" s="1"/>
      <c r="C875" s="1" t="s">
        <v>1299</v>
      </c>
      <c r="D875" s="1" t="str">
        <f t="shared" si="39"/>
        <v>Portales</v>
      </c>
      <c r="E875" s="1" t="str">
        <f>IFERROR(INDEX(Census_Metro_List!$A:$A,MATCH(D875&amp;"*",Census_Metro_List!$A:$A,0)),"No Match")</f>
        <v>No Match</v>
      </c>
      <c r="F875" s="1" t="str">
        <f t="shared" si="40"/>
        <v>NM</v>
      </c>
      <c r="G875" s="1" t="str">
        <f t="shared" si="41"/>
        <v>Review</v>
      </c>
    </row>
    <row r="876" spans="1:7" x14ac:dyDescent="0.35">
      <c r="A876" s="1" t="s">
        <v>1277</v>
      </c>
      <c r="B876" s="1"/>
      <c r="C876" s="1" t="s">
        <v>1299</v>
      </c>
      <c r="D876" s="1" t="str">
        <f t="shared" si="39"/>
        <v>Los Alamos</v>
      </c>
      <c r="E876" s="1" t="str">
        <f>IFERROR(INDEX(Census_Metro_List!$A:$A,MATCH(D876&amp;"*",Census_Metro_List!$A:$A,0)),"No Match")</f>
        <v>No Match</v>
      </c>
      <c r="F876" s="1" t="str">
        <f t="shared" si="40"/>
        <v>NM</v>
      </c>
      <c r="G876" s="1" t="str">
        <f t="shared" si="41"/>
        <v>Review</v>
      </c>
    </row>
    <row r="877" spans="1:7" x14ac:dyDescent="0.35">
      <c r="A877" s="1" t="s">
        <v>1278</v>
      </c>
      <c r="B877" s="1"/>
      <c r="C877" s="1" t="s">
        <v>1299</v>
      </c>
      <c r="D877" s="1" t="str">
        <f t="shared" si="39"/>
        <v>Hereford</v>
      </c>
      <c r="E877" s="1" t="str">
        <f>IFERROR(INDEX(Census_Metro_List!$A:$A,MATCH(D877&amp;"*",Census_Metro_List!$A:$A,0)),"No Match")</f>
        <v>No Match</v>
      </c>
      <c r="F877" s="1" t="str">
        <f t="shared" si="40"/>
        <v>TX</v>
      </c>
      <c r="G877" s="1" t="str">
        <f t="shared" si="41"/>
        <v>Review</v>
      </c>
    </row>
    <row r="878" spans="1:7" x14ac:dyDescent="0.35">
      <c r="A878" s="1" t="s">
        <v>1279</v>
      </c>
      <c r="B878" s="1"/>
      <c r="C878" s="1" t="s">
        <v>1299</v>
      </c>
      <c r="D878" s="1" t="str">
        <f t="shared" si="39"/>
        <v>Andrews</v>
      </c>
      <c r="E878" s="1" t="str">
        <f>IFERROR(INDEX(Census_Metro_List!$A:$A,MATCH(D878&amp;"*",Census_Metro_List!$A:$A,0)),"No Match")</f>
        <v>No Match</v>
      </c>
      <c r="F878" s="1" t="str">
        <f t="shared" si="40"/>
        <v>TX</v>
      </c>
      <c r="G878" s="1" t="str">
        <f t="shared" si="41"/>
        <v>Review</v>
      </c>
    </row>
    <row r="879" spans="1:7" x14ac:dyDescent="0.35">
      <c r="A879" s="1" t="s">
        <v>1280</v>
      </c>
      <c r="B879" s="1"/>
      <c r="C879" s="1" t="s">
        <v>1299</v>
      </c>
      <c r="D879" s="1" t="str">
        <f t="shared" si="39"/>
        <v>Spirit Lake</v>
      </c>
      <c r="E879" s="1" t="str">
        <f>IFERROR(INDEX(Census_Metro_List!$A:$A,MATCH(D879&amp;"*",Census_Metro_List!$A:$A,0)),"No Match")</f>
        <v>No Match</v>
      </c>
      <c r="F879" s="1" t="str">
        <f t="shared" si="40"/>
        <v>IA</v>
      </c>
      <c r="G879" s="1" t="str">
        <f t="shared" si="41"/>
        <v>Review</v>
      </c>
    </row>
    <row r="880" spans="1:7" x14ac:dyDescent="0.35">
      <c r="A880" s="1" t="s">
        <v>1281</v>
      </c>
      <c r="B880" s="1"/>
      <c r="C880" s="1" t="s">
        <v>1299</v>
      </c>
      <c r="D880" s="1" t="str">
        <f t="shared" si="39"/>
        <v>Fitzgerald</v>
      </c>
      <c r="E880" s="1" t="str">
        <f>IFERROR(INDEX(Census_Metro_List!$A:$A,MATCH(D880&amp;"*",Census_Metro_List!$A:$A,0)),"No Match")</f>
        <v>No Match</v>
      </c>
      <c r="F880" s="1" t="str">
        <f t="shared" si="40"/>
        <v>GA</v>
      </c>
      <c r="G880" s="1" t="str">
        <f t="shared" si="41"/>
        <v>Review</v>
      </c>
    </row>
    <row r="881" spans="1:7" x14ac:dyDescent="0.35">
      <c r="A881" s="1" t="s">
        <v>1282</v>
      </c>
      <c r="B881" s="1"/>
      <c r="C881" s="1" t="s">
        <v>1299</v>
      </c>
      <c r="D881" s="1" t="str">
        <f t="shared" si="39"/>
        <v>Winnemucca</v>
      </c>
      <c r="E881" s="1" t="str">
        <f>IFERROR(INDEX(Census_Metro_List!$A:$A,MATCH(D881&amp;"*",Census_Metro_List!$A:$A,0)),"No Match")</f>
        <v>No Match</v>
      </c>
      <c r="F881" s="1" t="str">
        <f t="shared" si="40"/>
        <v>NV</v>
      </c>
      <c r="G881" s="1" t="str">
        <f t="shared" si="41"/>
        <v>Review</v>
      </c>
    </row>
    <row r="882" spans="1:7" x14ac:dyDescent="0.35">
      <c r="A882" s="1" t="s">
        <v>1283</v>
      </c>
      <c r="B882" s="1"/>
      <c r="C882" s="1" t="s">
        <v>1299</v>
      </c>
      <c r="D882" s="1" t="str">
        <f t="shared" si="39"/>
        <v>Maysville</v>
      </c>
      <c r="E882" s="1" t="str">
        <f>IFERROR(INDEX(Census_Metro_List!$A:$A,MATCH(D882&amp;"*",Census_Metro_List!$A:$A,0)),"No Match")</f>
        <v>No Match</v>
      </c>
      <c r="F882" s="1" t="str">
        <f t="shared" si="40"/>
        <v>KY</v>
      </c>
      <c r="G882" s="1" t="str">
        <f t="shared" si="41"/>
        <v>Review</v>
      </c>
    </row>
    <row r="883" spans="1:7" x14ac:dyDescent="0.35">
      <c r="A883" s="1" t="s">
        <v>1284</v>
      </c>
      <c r="B883" s="1"/>
      <c r="C883" s="1" t="s">
        <v>1299</v>
      </c>
      <c r="D883" s="1" t="str">
        <f t="shared" si="39"/>
        <v>Snyder</v>
      </c>
      <c r="E883" s="1" t="str">
        <f>IFERROR(INDEX(Census_Metro_List!$A:$A,MATCH(D883&amp;"*",Census_Metro_List!$A:$A,0)),"No Match")</f>
        <v>No Match</v>
      </c>
      <c r="F883" s="1" t="str">
        <f t="shared" si="40"/>
        <v>TX</v>
      </c>
      <c r="G883" s="1" t="str">
        <f t="shared" si="41"/>
        <v>Review</v>
      </c>
    </row>
    <row r="884" spans="1:7" hidden="1" x14ac:dyDescent="0.35">
      <c r="A884" s="1" t="s">
        <v>1285</v>
      </c>
      <c r="B884" s="1"/>
      <c r="C884" s="1" t="s">
        <v>1299</v>
      </c>
      <c r="D884" s="1" t="str">
        <f t="shared" si="39"/>
        <v>Helena</v>
      </c>
      <c r="E884" s="1" t="str">
        <f>IFERROR(INDEX(Census_Metro_List!$A:$A,MATCH(D884&amp;"*",Census_Metro_List!$A:$A,0)),"No Match")</f>
        <v>Helena, MT Metro Area</v>
      </c>
      <c r="F884" s="1" t="str">
        <f t="shared" si="40"/>
        <v>AR</v>
      </c>
      <c r="G884" s="1" t="str">
        <f t="shared" si="41"/>
        <v>Likely Match</v>
      </c>
    </row>
    <row r="885" spans="1:7" x14ac:dyDescent="0.35">
      <c r="A885" s="1" t="s">
        <v>1286</v>
      </c>
      <c r="B885" s="1"/>
      <c r="C885" s="1" t="s">
        <v>1299</v>
      </c>
      <c r="D885" s="1" t="str">
        <f t="shared" si="39"/>
        <v>Spencer</v>
      </c>
      <c r="E885" s="1" t="str">
        <f>IFERROR(INDEX(Census_Metro_List!$A:$A,MATCH(D885&amp;"*",Census_Metro_List!$A:$A,0)),"No Match")</f>
        <v>No Match</v>
      </c>
      <c r="F885" s="1" t="str">
        <f t="shared" si="40"/>
        <v>IA</v>
      </c>
      <c r="G885" s="1" t="str">
        <f t="shared" si="41"/>
        <v>Review</v>
      </c>
    </row>
    <row r="886" spans="1:7" x14ac:dyDescent="0.35">
      <c r="A886" s="1" t="s">
        <v>1287</v>
      </c>
      <c r="B886" s="1"/>
      <c r="C886" s="1" t="s">
        <v>1299</v>
      </c>
      <c r="D886" s="1" t="str">
        <f t="shared" si="39"/>
        <v>Atchison</v>
      </c>
      <c r="E886" s="1" t="str">
        <f>IFERROR(INDEX(Census_Metro_List!$A:$A,MATCH(D886&amp;"*",Census_Metro_List!$A:$A,0)),"No Match")</f>
        <v>No Match</v>
      </c>
      <c r="F886" s="1" t="str">
        <f t="shared" si="40"/>
        <v>KS</v>
      </c>
      <c r="G886" s="1" t="str">
        <f t="shared" si="41"/>
        <v>Review</v>
      </c>
    </row>
    <row r="887" spans="1:7" x14ac:dyDescent="0.35">
      <c r="A887" s="1" t="s">
        <v>1288</v>
      </c>
      <c r="B887" s="1"/>
      <c r="C887" s="1" t="s">
        <v>1299</v>
      </c>
      <c r="D887" s="1" t="str">
        <f t="shared" si="39"/>
        <v>Fairfield</v>
      </c>
      <c r="E887" s="1" t="str">
        <f>IFERROR(INDEX(Census_Metro_List!$A:$A,MATCH(D887&amp;"*",Census_Metro_List!$A:$A,0)),"No Match")</f>
        <v>No Match</v>
      </c>
      <c r="F887" s="1" t="str">
        <f t="shared" si="40"/>
        <v>IA</v>
      </c>
      <c r="G887" s="1" t="str">
        <f t="shared" si="41"/>
        <v>Review</v>
      </c>
    </row>
    <row r="888" spans="1:7" x14ac:dyDescent="0.35">
      <c r="A888" s="1" t="s">
        <v>1289</v>
      </c>
      <c r="B888" s="1"/>
      <c r="C888" s="1" t="s">
        <v>1299</v>
      </c>
      <c r="D888" s="1" t="str">
        <f t="shared" si="39"/>
        <v>Vermillion</v>
      </c>
      <c r="E888" s="1" t="str">
        <f>IFERROR(INDEX(Census_Metro_List!$A:$A,MATCH(D888&amp;"*",Census_Metro_List!$A:$A,0)),"No Match")</f>
        <v>No Match</v>
      </c>
      <c r="F888" s="1" t="str">
        <f t="shared" si="40"/>
        <v>SD</v>
      </c>
      <c r="G888" s="1" t="str">
        <f t="shared" si="41"/>
        <v>Review</v>
      </c>
    </row>
    <row r="889" spans="1:7" x14ac:dyDescent="0.35">
      <c r="A889" s="1" t="s">
        <v>1290</v>
      </c>
      <c r="B889" s="1"/>
      <c r="C889" s="1" t="s">
        <v>1299</v>
      </c>
      <c r="D889" s="1" t="str">
        <f t="shared" si="39"/>
        <v>Sweetwater</v>
      </c>
      <c r="E889" s="1" t="str">
        <f>IFERROR(INDEX(Census_Metro_List!$A:$A,MATCH(D889&amp;"*",Census_Metro_List!$A:$A,0)),"No Match")</f>
        <v>No Match</v>
      </c>
      <c r="F889" s="1" t="str">
        <f t="shared" si="40"/>
        <v>TX</v>
      </c>
      <c r="G889" s="1" t="str">
        <f t="shared" si="41"/>
        <v>Review</v>
      </c>
    </row>
    <row r="890" spans="1:7" x14ac:dyDescent="0.35">
      <c r="A890" s="1" t="s">
        <v>1291</v>
      </c>
      <c r="B890" s="1"/>
      <c r="C890" s="1" t="s">
        <v>1299</v>
      </c>
      <c r="D890" s="1" t="str">
        <f t="shared" si="39"/>
        <v>Pecos</v>
      </c>
      <c r="E890" s="1" t="str">
        <f>IFERROR(INDEX(Census_Metro_List!$A:$A,MATCH(D890&amp;"*",Census_Metro_List!$A:$A,0)),"No Match")</f>
        <v>No Match</v>
      </c>
      <c r="F890" s="1" t="str">
        <f t="shared" si="40"/>
        <v>TX</v>
      </c>
      <c r="G890" s="1" t="str">
        <f t="shared" si="41"/>
        <v>Review</v>
      </c>
    </row>
    <row r="891" spans="1:7" x14ac:dyDescent="0.35">
      <c r="A891" s="1" t="s">
        <v>1292</v>
      </c>
      <c r="B891" s="1"/>
      <c r="C891" s="1" t="s">
        <v>1299</v>
      </c>
      <c r="D891" s="1" t="str">
        <f t="shared" si="39"/>
        <v>Zapata</v>
      </c>
      <c r="E891" s="1" t="str">
        <f>IFERROR(INDEX(Census_Metro_List!$A:$A,MATCH(D891&amp;"*",Census_Metro_List!$A:$A,0)),"No Match")</f>
        <v>No Match</v>
      </c>
      <c r="F891" s="1" t="str">
        <f t="shared" si="40"/>
        <v>TX</v>
      </c>
      <c r="G891" s="1" t="str">
        <f t="shared" si="41"/>
        <v>Review</v>
      </c>
    </row>
    <row r="892" spans="1:7" x14ac:dyDescent="0.35">
      <c r="A892" s="1" t="s">
        <v>1293</v>
      </c>
      <c r="B892" s="1"/>
      <c r="C892" s="1" t="s">
        <v>1299</v>
      </c>
      <c r="D892" s="1" t="str">
        <f t="shared" si="39"/>
        <v>Ketchikan</v>
      </c>
      <c r="E892" s="1" t="str">
        <f>IFERROR(INDEX(Census_Metro_List!$A:$A,MATCH(D892&amp;"*",Census_Metro_List!$A:$A,0)),"No Match")</f>
        <v>No Match</v>
      </c>
      <c r="F892" s="1" t="str">
        <f t="shared" si="40"/>
        <v>AK</v>
      </c>
      <c r="G892" s="1" t="str">
        <f t="shared" si="41"/>
        <v>Review</v>
      </c>
    </row>
    <row r="893" spans="1:7" x14ac:dyDescent="0.35">
      <c r="A893" s="1" t="s">
        <v>1294</v>
      </c>
      <c r="B893" s="1"/>
      <c r="C893" s="1" t="s">
        <v>1299</v>
      </c>
      <c r="D893" s="1" t="str">
        <f t="shared" si="39"/>
        <v>Craig</v>
      </c>
      <c r="E893" s="1" t="str">
        <f>IFERROR(INDEX(Census_Metro_List!$A:$A,MATCH(D893&amp;"*",Census_Metro_List!$A:$A,0)),"No Match")</f>
        <v>No Match</v>
      </c>
      <c r="F893" s="1" t="str">
        <f t="shared" si="40"/>
        <v>CO</v>
      </c>
      <c r="G893" s="1" t="str">
        <f t="shared" si="41"/>
        <v>Review</v>
      </c>
    </row>
    <row r="894" spans="1:7" x14ac:dyDescent="0.35">
      <c r="A894" s="1" t="s">
        <v>1295</v>
      </c>
      <c r="B894" s="1"/>
      <c r="C894" s="1" t="s">
        <v>1299</v>
      </c>
      <c r="D894" s="1" t="str">
        <f t="shared" si="39"/>
        <v>Vernon</v>
      </c>
      <c r="E894" s="1" t="str">
        <f>IFERROR(INDEX(Census_Metro_List!$A:$A,MATCH(D894&amp;"*",Census_Metro_List!$A:$A,0)),"No Match")</f>
        <v>No Match</v>
      </c>
      <c r="F894" s="1" t="str">
        <f t="shared" si="40"/>
        <v>TX</v>
      </c>
      <c r="G894" s="1" t="str">
        <f t="shared" si="41"/>
        <v>Review</v>
      </c>
    </row>
    <row r="895" spans="1:7" x14ac:dyDescent="0.35">
      <c r="A895" s="1" t="s">
        <v>1296</v>
      </c>
      <c r="B895" s="1"/>
      <c r="C895" s="1" t="s">
        <v>1299</v>
      </c>
      <c r="D895" s="1" t="str">
        <f t="shared" si="39"/>
        <v>Lamesa</v>
      </c>
      <c r="E895" s="1" t="str">
        <f>IFERROR(INDEX(Census_Metro_List!$A:$A,MATCH(D895&amp;"*",Census_Metro_List!$A:$A,0)),"No Match")</f>
        <v>No Match</v>
      </c>
      <c r="F895" s="1" t="str">
        <f t="shared" si="40"/>
        <v>TX</v>
      </c>
      <c r="G895" s="1" t="str">
        <f t="shared" si="41"/>
        <v>Review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94"/>
  <sheetViews>
    <sheetView workbookViewId="0"/>
  </sheetViews>
  <sheetFormatPr defaultRowHeight="14.5" x14ac:dyDescent="0.35"/>
  <cols>
    <col min="1" max="1" width="52.90625" customWidth="1"/>
  </cols>
  <sheetData>
    <row r="1" spans="1:1" x14ac:dyDescent="0.35">
      <c r="A1" t="s">
        <v>397</v>
      </c>
    </row>
    <row r="2" spans="1:1" x14ac:dyDescent="0.35">
      <c r="A2" t="s">
        <v>3</v>
      </c>
    </row>
    <row r="3" spans="1:1" x14ac:dyDescent="0.35">
      <c r="A3" t="s">
        <v>4</v>
      </c>
    </row>
    <row r="4" spans="1:1" x14ac:dyDescent="0.35">
      <c r="A4" t="s">
        <v>5</v>
      </c>
    </row>
    <row r="5" spans="1:1" x14ac:dyDescent="0.35">
      <c r="A5" t="s">
        <v>6</v>
      </c>
    </row>
    <row r="6" spans="1:1" x14ac:dyDescent="0.35">
      <c r="A6" t="s">
        <v>7</v>
      </c>
    </row>
    <row r="7" spans="1:1" x14ac:dyDescent="0.35">
      <c r="A7" t="s">
        <v>8</v>
      </c>
    </row>
    <row r="8" spans="1:1" x14ac:dyDescent="0.35">
      <c r="A8" t="s">
        <v>9</v>
      </c>
    </row>
    <row r="9" spans="1:1" x14ac:dyDescent="0.35">
      <c r="A9" t="s">
        <v>10</v>
      </c>
    </row>
    <row r="10" spans="1:1" x14ac:dyDescent="0.35">
      <c r="A10" t="s">
        <v>11</v>
      </c>
    </row>
    <row r="11" spans="1:1" x14ac:dyDescent="0.35">
      <c r="A11" t="s">
        <v>12</v>
      </c>
    </row>
    <row r="12" spans="1:1" x14ac:dyDescent="0.35">
      <c r="A12" t="s">
        <v>13</v>
      </c>
    </row>
    <row r="13" spans="1:1" x14ac:dyDescent="0.35">
      <c r="A13" t="s">
        <v>14</v>
      </c>
    </row>
    <row r="14" spans="1:1" x14ac:dyDescent="0.35">
      <c r="A14" t="s">
        <v>15</v>
      </c>
    </row>
    <row r="15" spans="1:1" x14ac:dyDescent="0.35">
      <c r="A15" t="s">
        <v>16</v>
      </c>
    </row>
    <row r="16" spans="1:1" x14ac:dyDescent="0.35">
      <c r="A16" t="s">
        <v>17</v>
      </c>
    </row>
    <row r="17" spans="1:1" x14ac:dyDescent="0.35">
      <c r="A17" t="s">
        <v>18</v>
      </c>
    </row>
    <row r="18" spans="1:1" x14ac:dyDescent="0.35">
      <c r="A18" t="s">
        <v>19</v>
      </c>
    </row>
    <row r="19" spans="1:1" x14ac:dyDescent="0.35">
      <c r="A19" t="s">
        <v>20</v>
      </c>
    </row>
    <row r="20" spans="1:1" x14ac:dyDescent="0.35">
      <c r="A20" t="s">
        <v>21</v>
      </c>
    </row>
    <row r="21" spans="1:1" x14ac:dyDescent="0.35">
      <c r="A21" t="s">
        <v>22</v>
      </c>
    </row>
    <row r="22" spans="1:1" x14ac:dyDescent="0.35">
      <c r="A22" t="s">
        <v>23</v>
      </c>
    </row>
    <row r="23" spans="1:1" x14ac:dyDescent="0.35">
      <c r="A23" t="s">
        <v>24</v>
      </c>
    </row>
    <row r="24" spans="1:1" x14ac:dyDescent="0.35">
      <c r="A24" t="s">
        <v>25</v>
      </c>
    </row>
    <row r="25" spans="1:1" x14ac:dyDescent="0.35">
      <c r="A25" t="s">
        <v>26</v>
      </c>
    </row>
    <row r="26" spans="1:1" x14ac:dyDescent="0.35">
      <c r="A26" t="s">
        <v>27</v>
      </c>
    </row>
    <row r="27" spans="1:1" x14ac:dyDescent="0.35">
      <c r="A27" t="s">
        <v>28</v>
      </c>
    </row>
    <row r="28" spans="1:1" x14ac:dyDescent="0.35">
      <c r="A28" t="s">
        <v>29</v>
      </c>
    </row>
    <row r="29" spans="1:1" x14ac:dyDescent="0.35">
      <c r="A29" t="s">
        <v>30</v>
      </c>
    </row>
    <row r="30" spans="1:1" x14ac:dyDescent="0.35">
      <c r="A30" t="s">
        <v>31</v>
      </c>
    </row>
    <row r="31" spans="1:1" x14ac:dyDescent="0.35">
      <c r="A31" t="s">
        <v>32</v>
      </c>
    </row>
    <row r="32" spans="1:1" x14ac:dyDescent="0.35">
      <c r="A32" t="s">
        <v>33</v>
      </c>
    </row>
    <row r="33" spans="1:1" x14ac:dyDescent="0.35">
      <c r="A33" t="s">
        <v>34</v>
      </c>
    </row>
    <row r="34" spans="1:1" x14ac:dyDescent="0.35">
      <c r="A34" t="s">
        <v>35</v>
      </c>
    </row>
    <row r="35" spans="1:1" x14ac:dyDescent="0.35">
      <c r="A35" t="s">
        <v>36</v>
      </c>
    </row>
    <row r="36" spans="1:1" x14ac:dyDescent="0.35">
      <c r="A36" t="s">
        <v>37</v>
      </c>
    </row>
    <row r="37" spans="1:1" x14ac:dyDescent="0.35">
      <c r="A37" t="s">
        <v>38</v>
      </c>
    </row>
    <row r="38" spans="1:1" x14ac:dyDescent="0.35">
      <c r="A38" t="s">
        <v>39</v>
      </c>
    </row>
    <row r="39" spans="1:1" x14ac:dyDescent="0.35">
      <c r="A39" t="s">
        <v>40</v>
      </c>
    </row>
    <row r="40" spans="1:1" x14ac:dyDescent="0.35">
      <c r="A40" t="s">
        <v>41</v>
      </c>
    </row>
    <row r="41" spans="1:1" x14ac:dyDescent="0.35">
      <c r="A41" t="s">
        <v>42</v>
      </c>
    </row>
    <row r="42" spans="1:1" x14ac:dyDescent="0.35">
      <c r="A42" t="s">
        <v>43</v>
      </c>
    </row>
    <row r="43" spans="1:1" x14ac:dyDescent="0.35">
      <c r="A43" t="s">
        <v>44</v>
      </c>
    </row>
    <row r="44" spans="1:1" x14ac:dyDescent="0.35">
      <c r="A44" t="s">
        <v>45</v>
      </c>
    </row>
    <row r="45" spans="1:1" x14ac:dyDescent="0.35">
      <c r="A45" t="s">
        <v>46</v>
      </c>
    </row>
    <row r="46" spans="1:1" x14ac:dyDescent="0.35">
      <c r="A46" t="s">
        <v>47</v>
      </c>
    </row>
    <row r="47" spans="1:1" x14ac:dyDescent="0.35">
      <c r="A47" t="s">
        <v>48</v>
      </c>
    </row>
    <row r="48" spans="1:1" x14ac:dyDescent="0.35">
      <c r="A48" t="s">
        <v>49</v>
      </c>
    </row>
    <row r="49" spans="1:1" x14ac:dyDescent="0.35">
      <c r="A49" t="s">
        <v>50</v>
      </c>
    </row>
    <row r="50" spans="1:1" x14ac:dyDescent="0.35">
      <c r="A50" t="s">
        <v>51</v>
      </c>
    </row>
    <row r="51" spans="1:1" x14ac:dyDescent="0.35">
      <c r="A51" t="s">
        <v>52</v>
      </c>
    </row>
    <row r="52" spans="1:1" x14ac:dyDescent="0.35">
      <c r="A52" t="s">
        <v>53</v>
      </c>
    </row>
    <row r="53" spans="1:1" x14ac:dyDescent="0.35">
      <c r="A53" t="s">
        <v>54</v>
      </c>
    </row>
    <row r="54" spans="1:1" x14ac:dyDescent="0.35">
      <c r="A54" t="s">
        <v>55</v>
      </c>
    </row>
    <row r="55" spans="1:1" x14ac:dyDescent="0.35">
      <c r="A55" t="s">
        <v>56</v>
      </c>
    </row>
    <row r="56" spans="1:1" x14ac:dyDescent="0.35">
      <c r="A56" t="s">
        <v>57</v>
      </c>
    </row>
    <row r="57" spans="1:1" x14ac:dyDescent="0.35">
      <c r="A57" t="s">
        <v>58</v>
      </c>
    </row>
    <row r="58" spans="1:1" x14ac:dyDescent="0.35">
      <c r="A58" t="s">
        <v>59</v>
      </c>
    </row>
    <row r="59" spans="1:1" x14ac:dyDescent="0.35">
      <c r="A59" t="s">
        <v>60</v>
      </c>
    </row>
    <row r="60" spans="1:1" x14ac:dyDescent="0.35">
      <c r="A60" t="s">
        <v>61</v>
      </c>
    </row>
    <row r="61" spans="1:1" x14ac:dyDescent="0.35">
      <c r="A61" t="s">
        <v>62</v>
      </c>
    </row>
    <row r="62" spans="1:1" x14ac:dyDescent="0.35">
      <c r="A62" t="s">
        <v>63</v>
      </c>
    </row>
    <row r="63" spans="1:1" x14ac:dyDescent="0.35">
      <c r="A63" t="s">
        <v>64</v>
      </c>
    </row>
    <row r="64" spans="1:1" x14ac:dyDescent="0.35">
      <c r="A64" t="s">
        <v>65</v>
      </c>
    </row>
    <row r="65" spans="1:1" x14ac:dyDescent="0.35">
      <c r="A65" t="s">
        <v>66</v>
      </c>
    </row>
    <row r="66" spans="1:1" x14ac:dyDescent="0.35">
      <c r="A66" t="s">
        <v>67</v>
      </c>
    </row>
    <row r="67" spans="1:1" x14ac:dyDescent="0.35">
      <c r="A67" t="s">
        <v>68</v>
      </c>
    </row>
    <row r="68" spans="1:1" x14ac:dyDescent="0.35">
      <c r="A68" t="s">
        <v>69</v>
      </c>
    </row>
    <row r="69" spans="1:1" x14ac:dyDescent="0.35">
      <c r="A69" t="s">
        <v>70</v>
      </c>
    </row>
    <row r="70" spans="1:1" x14ac:dyDescent="0.35">
      <c r="A70" t="s">
        <v>71</v>
      </c>
    </row>
    <row r="71" spans="1:1" x14ac:dyDescent="0.35">
      <c r="A71" t="s">
        <v>72</v>
      </c>
    </row>
    <row r="72" spans="1:1" x14ac:dyDescent="0.35">
      <c r="A72" t="s">
        <v>73</v>
      </c>
    </row>
    <row r="73" spans="1:1" x14ac:dyDescent="0.35">
      <c r="A73" t="s">
        <v>74</v>
      </c>
    </row>
    <row r="74" spans="1:1" x14ac:dyDescent="0.35">
      <c r="A74" t="s">
        <v>75</v>
      </c>
    </row>
    <row r="75" spans="1:1" x14ac:dyDescent="0.35">
      <c r="A75" t="s">
        <v>76</v>
      </c>
    </row>
    <row r="76" spans="1:1" x14ac:dyDescent="0.35">
      <c r="A76" t="s">
        <v>77</v>
      </c>
    </row>
    <row r="77" spans="1:1" x14ac:dyDescent="0.35">
      <c r="A77" t="s">
        <v>78</v>
      </c>
    </row>
    <row r="78" spans="1:1" x14ac:dyDescent="0.35">
      <c r="A78" t="s">
        <v>79</v>
      </c>
    </row>
    <row r="79" spans="1:1" x14ac:dyDescent="0.35">
      <c r="A79" t="s">
        <v>80</v>
      </c>
    </row>
    <row r="80" spans="1:1" x14ac:dyDescent="0.35">
      <c r="A80" t="s">
        <v>81</v>
      </c>
    </row>
    <row r="81" spans="1:1" x14ac:dyDescent="0.35">
      <c r="A81" t="s">
        <v>82</v>
      </c>
    </row>
    <row r="82" spans="1:1" x14ac:dyDescent="0.35">
      <c r="A82" t="s">
        <v>83</v>
      </c>
    </row>
    <row r="83" spans="1:1" x14ac:dyDescent="0.35">
      <c r="A83" t="s">
        <v>84</v>
      </c>
    </row>
    <row r="84" spans="1:1" x14ac:dyDescent="0.35">
      <c r="A84" t="s">
        <v>85</v>
      </c>
    </row>
    <row r="85" spans="1:1" x14ac:dyDescent="0.35">
      <c r="A85" t="s">
        <v>86</v>
      </c>
    </row>
    <row r="86" spans="1:1" x14ac:dyDescent="0.35">
      <c r="A86" t="s">
        <v>87</v>
      </c>
    </row>
    <row r="87" spans="1:1" x14ac:dyDescent="0.35">
      <c r="A87" t="s">
        <v>88</v>
      </c>
    </row>
    <row r="88" spans="1:1" x14ac:dyDescent="0.35">
      <c r="A88" t="s">
        <v>89</v>
      </c>
    </row>
    <row r="89" spans="1:1" x14ac:dyDescent="0.35">
      <c r="A89" t="s">
        <v>90</v>
      </c>
    </row>
    <row r="90" spans="1:1" x14ac:dyDescent="0.35">
      <c r="A90" t="s">
        <v>91</v>
      </c>
    </row>
    <row r="91" spans="1:1" x14ac:dyDescent="0.35">
      <c r="A91" t="s">
        <v>92</v>
      </c>
    </row>
    <row r="92" spans="1:1" x14ac:dyDescent="0.35">
      <c r="A92" t="s">
        <v>93</v>
      </c>
    </row>
    <row r="93" spans="1:1" x14ac:dyDescent="0.35">
      <c r="A93" t="s">
        <v>94</v>
      </c>
    </row>
    <row r="94" spans="1:1" x14ac:dyDescent="0.35">
      <c r="A94" t="s">
        <v>95</v>
      </c>
    </row>
    <row r="95" spans="1:1" x14ac:dyDescent="0.35">
      <c r="A95" t="s">
        <v>96</v>
      </c>
    </row>
    <row r="96" spans="1:1" x14ac:dyDescent="0.35">
      <c r="A96" t="s">
        <v>97</v>
      </c>
    </row>
    <row r="97" spans="1:1" x14ac:dyDescent="0.35">
      <c r="A97" t="s">
        <v>98</v>
      </c>
    </row>
    <row r="98" spans="1:1" x14ac:dyDescent="0.35">
      <c r="A98" t="s">
        <v>99</v>
      </c>
    </row>
    <row r="99" spans="1:1" x14ac:dyDescent="0.35">
      <c r="A99" t="s">
        <v>100</v>
      </c>
    </row>
    <row r="100" spans="1:1" x14ac:dyDescent="0.35">
      <c r="A100" t="s">
        <v>101</v>
      </c>
    </row>
    <row r="101" spans="1:1" x14ac:dyDescent="0.35">
      <c r="A101" t="s">
        <v>102</v>
      </c>
    </row>
    <row r="102" spans="1:1" x14ac:dyDescent="0.35">
      <c r="A102" t="s">
        <v>103</v>
      </c>
    </row>
    <row r="103" spans="1:1" x14ac:dyDescent="0.35">
      <c r="A103" t="s">
        <v>104</v>
      </c>
    </row>
    <row r="104" spans="1:1" x14ac:dyDescent="0.35">
      <c r="A104" t="s">
        <v>105</v>
      </c>
    </row>
    <row r="105" spans="1:1" x14ac:dyDescent="0.35">
      <c r="A105" t="s">
        <v>106</v>
      </c>
    </row>
    <row r="106" spans="1:1" x14ac:dyDescent="0.35">
      <c r="A106" t="s">
        <v>107</v>
      </c>
    </row>
    <row r="107" spans="1:1" x14ac:dyDescent="0.35">
      <c r="A107" t="s">
        <v>108</v>
      </c>
    </row>
    <row r="108" spans="1:1" x14ac:dyDescent="0.35">
      <c r="A108" t="s">
        <v>109</v>
      </c>
    </row>
    <row r="109" spans="1:1" x14ac:dyDescent="0.35">
      <c r="A109" t="s">
        <v>110</v>
      </c>
    </row>
    <row r="110" spans="1:1" x14ac:dyDescent="0.35">
      <c r="A110" t="s">
        <v>111</v>
      </c>
    </row>
    <row r="111" spans="1:1" x14ac:dyDescent="0.35">
      <c r="A111" t="s">
        <v>112</v>
      </c>
    </row>
    <row r="112" spans="1:1" x14ac:dyDescent="0.35">
      <c r="A112" t="s">
        <v>113</v>
      </c>
    </row>
    <row r="113" spans="1:1" x14ac:dyDescent="0.35">
      <c r="A113" t="s">
        <v>114</v>
      </c>
    </row>
    <row r="114" spans="1:1" x14ac:dyDescent="0.35">
      <c r="A114" t="s">
        <v>115</v>
      </c>
    </row>
    <row r="115" spans="1:1" x14ac:dyDescent="0.35">
      <c r="A115" t="s">
        <v>116</v>
      </c>
    </row>
    <row r="116" spans="1:1" x14ac:dyDescent="0.35">
      <c r="A116" t="s">
        <v>117</v>
      </c>
    </row>
    <row r="117" spans="1:1" x14ac:dyDescent="0.35">
      <c r="A117" t="s">
        <v>118</v>
      </c>
    </row>
    <row r="118" spans="1:1" x14ac:dyDescent="0.35">
      <c r="A118" t="s">
        <v>119</v>
      </c>
    </row>
    <row r="119" spans="1:1" x14ac:dyDescent="0.35">
      <c r="A119" t="s">
        <v>120</v>
      </c>
    </row>
    <row r="120" spans="1:1" x14ac:dyDescent="0.35">
      <c r="A120" t="s">
        <v>121</v>
      </c>
    </row>
    <row r="121" spans="1:1" x14ac:dyDescent="0.35">
      <c r="A121" t="s">
        <v>122</v>
      </c>
    </row>
    <row r="122" spans="1:1" x14ac:dyDescent="0.35">
      <c r="A122" t="s">
        <v>123</v>
      </c>
    </row>
    <row r="123" spans="1:1" x14ac:dyDescent="0.35">
      <c r="A123" t="s">
        <v>124</v>
      </c>
    </row>
    <row r="124" spans="1:1" x14ac:dyDescent="0.35">
      <c r="A124" t="s">
        <v>125</v>
      </c>
    </row>
    <row r="125" spans="1:1" x14ac:dyDescent="0.35">
      <c r="A125" t="s">
        <v>126</v>
      </c>
    </row>
    <row r="126" spans="1:1" x14ac:dyDescent="0.35">
      <c r="A126" t="s">
        <v>127</v>
      </c>
    </row>
    <row r="127" spans="1:1" x14ac:dyDescent="0.35">
      <c r="A127" t="s">
        <v>128</v>
      </c>
    </row>
    <row r="128" spans="1:1" x14ac:dyDescent="0.35">
      <c r="A128" t="s">
        <v>129</v>
      </c>
    </row>
    <row r="129" spans="1:1" x14ac:dyDescent="0.35">
      <c r="A129" t="s">
        <v>130</v>
      </c>
    </row>
    <row r="130" spans="1:1" x14ac:dyDescent="0.35">
      <c r="A130" t="s">
        <v>131</v>
      </c>
    </row>
    <row r="131" spans="1:1" x14ac:dyDescent="0.35">
      <c r="A131" t="s">
        <v>132</v>
      </c>
    </row>
    <row r="132" spans="1:1" x14ac:dyDescent="0.35">
      <c r="A132" t="s">
        <v>133</v>
      </c>
    </row>
    <row r="133" spans="1:1" x14ac:dyDescent="0.35">
      <c r="A133" t="s">
        <v>134</v>
      </c>
    </row>
    <row r="134" spans="1:1" x14ac:dyDescent="0.35">
      <c r="A134" t="s">
        <v>135</v>
      </c>
    </row>
    <row r="135" spans="1:1" x14ac:dyDescent="0.35">
      <c r="A135" t="s">
        <v>136</v>
      </c>
    </row>
    <row r="136" spans="1:1" x14ac:dyDescent="0.35">
      <c r="A136" t="s">
        <v>137</v>
      </c>
    </row>
    <row r="137" spans="1:1" x14ac:dyDescent="0.35">
      <c r="A137" t="s">
        <v>138</v>
      </c>
    </row>
    <row r="138" spans="1:1" x14ac:dyDescent="0.35">
      <c r="A138" t="s">
        <v>139</v>
      </c>
    </row>
    <row r="139" spans="1:1" x14ac:dyDescent="0.35">
      <c r="A139" t="s">
        <v>140</v>
      </c>
    </row>
    <row r="140" spans="1:1" x14ac:dyDescent="0.35">
      <c r="A140" t="s">
        <v>141</v>
      </c>
    </row>
    <row r="141" spans="1:1" x14ac:dyDescent="0.35">
      <c r="A141" t="s">
        <v>142</v>
      </c>
    </row>
    <row r="142" spans="1:1" x14ac:dyDescent="0.35">
      <c r="A142" t="s">
        <v>143</v>
      </c>
    </row>
    <row r="143" spans="1:1" x14ac:dyDescent="0.35">
      <c r="A143" t="s">
        <v>144</v>
      </c>
    </row>
    <row r="144" spans="1:1" x14ac:dyDescent="0.35">
      <c r="A144" t="s">
        <v>145</v>
      </c>
    </row>
    <row r="145" spans="1:1" x14ac:dyDescent="0.35">
      <c r="A145" t="s">
        <v>146</v>
      </c>
    </row>
    <row r="146" spans="1:1" x14ac:dyDescent="0.35">
      <c r="A146" t="s">
        <v>147</v>
      </c>
    </row>
    <row r="147" spans="1:1" x14ac:dyDescent="0.35">
      <c r="A147" t="s">
        <v>148</v>
      </c>
    </row>
    <row r="148" spans="1:1" x14ac:dyDescent="0.35">
      <c r="A148" t="s">
        <v>149</v>
      </c>
    </row>
    <row r="149" spans="1:1" x14ac:dyDescent="0.35">
      <c r="A149" t="s">
        <v>150</v>
      </c>
    </row>
    <row r="150" spans="1:1" x14ac:dyDescent="0.35">
      <c r="A150" t="s">
        <v>151</v>
      </c>
    </row>
    <row r="151" spans="1:1" x14ac:dyDescent="0.35">
      <c r="A151" t="s">
        <v>152</v>
      </c>
    </row>
    <row r="152" spans="1:1" x14ac:dyDescent="0.35">
      <c r="A152" t="s">
        <v>153</v>
      </c>
    </row>
    <row r="153" spans="1:1" x14ac:dyDescent="0.35">
      <c r="A153" t="s">
        <v>154</v>
      </c>
    </row>
    <row r="154" spans="1:1" x14ac:dyDescent="0.35">
      <c r="A154" t="s">
        <v>155</v>
      </c>
    </row>
    <row r="155" spans="1:1" x14ac:dyDescent="0.35">
      <c r="A155" t="s">
        <v>156</v>
      </c>
    </row>
    <row r="156" spans="1:1" x14ac:dyDescent="0.35">
      <c r="A156" t="s">
        <v>157</v>
      </c>
    </row>
    <row r="157" spans="1:1" x14ac:dyDescent="0.35">
      <c r="A157" t="s">
        <v>158</v>
      </c>
    </row>
    <row r="158" spans="1:1" x14ac:dyDescent="0.35">
      <c r="A158" t="s">
        <v>159</v>
      </c>
    </row>
    <row r="159" spans="1:1" x14ac:dyDescent="0.35">
      <c r="A159" t="s">
        <v>160</v>
      </c>
    </row>
    <row r="160" spans="1:1" x14ac:dyDescent="0.35">
      <c r="A160" t="s">
        <v>161</v>
      </c>
    </row>
    <row r="161" spans="1:1" x14ac:dyDescent="0.35">
      <c r="A161" t="s">
        <v>162</v>
      </c>
    </row>
    <row r="162" spans="1:1" x14ac:dyDescent="0.35">
      <c r="A162" t="s">
        <v>163</v>
      </c>
    </row>
    <row r="163" spans="1:1" x14ac:dyDescent="0.35">
      <c r="A163" t="s">
        <v>164</v>
      </c>
    </row>
    <row r="164" spans="1:1" x14ac:dyDescent="0.35">
      <c r="A164" t="s">
        <v>165</v>
      </c>
    </row>
    <row r="165" spans="1:1" x14ac:dyDescent="0.35">
      <c r="A165" t="s">
        <v>166</v>
      </c>
    </row>
    <row r="166" spans="1:1" x14ac:dyDescent="0.35">
      <c r="A166" t="s">
        <v>167</v>
      </c>
    </row>
    <row r="167" spans="1:1" x14ac:dyDescent="0.35">
      <c r="A167" t="s">
        <v>168</v>
      </c>
    </row>
    <row r="168" spans="1:1" x14ac:dyDescent="0.35">
      <c r="A168" t="s">
        <v>169</v>
      </c>
    </row>
    <row r="169" spans="1:1" x14ac:dyDescent="0.35">
      <c r="A169" t="s">
        <v>170</v>
      </c>
    </row>
    <row r="170" spans="1:1" x14ac:dyDescent="0.35">
      <c r="A170" t="s">
        <v>171</v>
      </c>
    </row>
    <row r="171" spans="1:1" x14ac:dyDescent="0.35">
      <c r="A171" t="s">
        <v>172</v>
      </c>
    </row>
    <row r="172" spans="1:1" x14ac:dyDescent="0.35">
      <c r="A172" t="s">
        <v>173</v>
      </c>
    </row>
    <row r="173" spans="1:1" x14ac:dyDescent="0.35">
      <c r="A173" t="s">
        <v>174</v>
      </c>
    </row>
    <row r="174" spans="1:1" x14ac:dyDescent="0.35">
      <c r="A174" t="s">
        <v>175</v>
      </c>
    </row>
    <row r="175" spans="1:1" x14ac:dyDescent="0.35">
      <c r="A175" t="s">
        <v>176</v>
      </c>
    </row>
    <row r="176" spans="1:1" x14ac:dyDescent="0.35">
      <c r="A176" t="s">
        <v>177</v>
      </c>
    </row>
    <row r="177" spans="1:1" x14ac:dyDescent="0.35">
      <c r="A177" t="s">
        <v>178</v>
      </c>
    </row>
    <row r="178" spans="1:1" x14ac:dyDescent="0.35">
      <c r="A178" t="s">
        <v>179</v>
      </c>
    </row>
    <row r="179" spans="1:1" x14ac:dyDescent="0.35">
      <c r="A179" t="s">
        <v>180</v>
      </c>
    </row>
    <row r="180" spans="1:1" x14ac:dyDescent="0.35">
      <c r="A180" t="s">
        <v>181</v>
      </c>
    </row>
    <row r="181" spans="1:1" x14ac:dyDescent="0.35">
      <c r="A181" t="s">
        <v>182</v>
      </c>
    </row>
    <row r="182" spans="1:1" x14ac:dyDescent="0.35">
      <c r="A182" t="s">
        <v>183</v>
      </c>
    </row>
    <row r="183" spans="1:1" x14ac:dyDescent="0.35">
      <c r="A183" t="s">
        <v>184</v>
      </c>
    </row>
    <row r="184" spans="1:1" x14ac:dyDescent="0.35">
      <c r="A184" t="s">
        <v>185</v>
      </c>
    </row>
    <row r="185" spans="1:1" x14ac:dyDescent="0.35">
      <c r="A185" t="s">
        <v>186</v>
      </c>
    </row>
    <row r="186" spans="1:1" x14ac:dyDescent="0.35">
      <c r="A186" t="s">
        <v>187</v>
      </c>
    </row>
    <row r="187" spans="1:1" x14ac:dyDescent="0.35">
      <c r="A187" t="s">
        <v>188</v>
      </c>
    </row>
    <row r="188" spans="1:1" x14ac:dyDescent="0.35">
      <c r="A188" t="s">
        <v>189</v>
      </c>
    </row>
    <row r="189" spans="1:1" x14ac:dyDescent="0.35">
      <c r="A189" t="s">
        <v>190</v>
      </c>
    </row>
    <row r="190" spans="1:1" x14ac:dyDescent="0.35">
      <c r="A190" t="s">
        <v>191</v>
      </c>
    </row>
    <row r="191" spans="1:1" x14ac:dyDescent="0.35">
      <c r="A191" t="s">
        <v>192</v>
      </c>
    </row>
    <row r="192" spans="1:1" x14ac:dyDescent="0.35">
      <c r="A192" t="s">
        <v>193</v>
      </c>
    </row>
    <row r="193" spans="1:1" x14ac:dyDescent="0.35">
      <c r="A193" t="s">
        <v>194</v>
      </c>
    </row>
    <row r="194" spans="1:1" x14ac:dyDescent="0.35">
      <c r="A194" t="s">
        <v>195</v>
      </c>
    </row>
    <row r="195" spans="1:1" x14ac:dyDescent="0.35">
      <c r="A195" t="s">
        <v>196</v>
      </c>
    </row>
    <row r="196" spans="1:1" x14ac:dyDescent="0.35">
      <c r="A196" t="s">
        <v>197</v>
      </c>
    </row>
    <row r="197" spans="1:1" x14ac:dyDescent="0.35">
      <c r="A197" t="s">
        <v>198</v>
      </c>
    </row>
    <row r="198" spans="1:1" x14ac:dyDescent="0.35">
      <c r="A198" t="s">
        <v>199</v>
      </c>
    </row>
    <row r="199" spans="1:1" x14ac:dyDescent="0.35">
      <c r="A199" t="s">
        <v>200</v>
      </c>
    </row>
    <row r="200" spans="1:1" x14ac:dyDescent="0.35">
      <c r="A200" t="s">
        <v>201</v>
      </c>
    </row>
    <row r="201" spans="1:1" x14ac:dyDescent="0.35">
      <c r="A201" t="s">
        <v>202</v>
      </c>
    </row>
    <row r="202" spans="1:1" x14ac:dyDescent="0.35">
      <c r="A202" t="s">
        <v>203</v>
      </c>
    </row>
    <row r="203" spans="1:1" x14ac:dyDescent="0.35">
      <c r="A203" t="s">
        <v>204</v>
      </c>
    </row>
    <row r="204" spans="1:1" x14ac:dyDescent="0.35">
      <c r="A204" t="s">
        <v>205</v>
      </c>
    </row>
    <row r="205" spans="1:1" x14ac:dyDescent="0.35">
      <c r="A205" t="s">
        <v>206</v>
      </c>
    </row>
    <row r="206" spans="1:1" x14ac:dyDescent="0.35">
      <c r="A206" t="s">
        <v>207</v>
      </c>
    </row>
    <row r="207" spans="1:1" x14ac:dyDescent="0.35">
      <c r="A207" t="s">
        <v>208</v>
      </c>
    </row>
    <row r="208" spans="1:1" x14ac:dyDescent="0.35">
      <c r="A208" t="s">
        <v>209</v>
      </c>
    </row>
    <row r="209" spans="1:1" x14ac:dyDescent="0.35">
      <c r="A209" t="s">
        <v>210</v>
      </c>
    </row>
    <row r="210" spans="1:1" x14ac:dyDescent="0.35">
      <c r="A210" t="s">
        <v>211</v>
      </c>
    </row>
    <row r="211" spans="1:1" x14ac:dyDescent="0.35">
      <c r="A211" t="s">
        <v>212</v>
      </c>
    </row>
    <row r="212" spans="1:1" x14ac:dyDescent="0.35">
      <c r="A212" t="s">
        <v>213</v>
      </c>
    </row>
    <row r="213" spans="1:1" x14ac:dyDescent="0.35">
      <c r="A213" t="s">
        <v>214</v>
      </c>
    </row>
    <row r="214" spans="1:1" x14ac:dyDescent="0.35">
      <c r="A214" t="s">
        <v>215</v>
      </c>
    </row>
    <row r="215" spans="1:1" x14ac:dyDescent="0.35">
      <c r="A215" t="s">
        <v>216</v>
      </c>
    </row>
    <row r="216" spans="1:1" x14ac:dyDescent="0.35">
      <c r="A216" t="s">
        <v>217</v>
      </c>
    </row>
    <row r="217" spans="1:1" x14ac:dyDescent="0.35">
      <c r="A217" t="s">
        <v>218</v>
      </c>
    </row>
    <row r="218" spans="1:1" x14ac:dyDescent="0.35">
      <c r="A218" t="s">
        <v>219</v>
      </c>
    </row>
    <row r="219" spans="1:1" x14ac:dyDescent="0.35">
      <c r="A219" t="s">
        <v>220</v>
      </c>
    </row>
    <row r="220" spans="1:1" x14ac:dyDescent="0.35">
      <c r="A220" t="s">
        <v>221</v>
      </c>
    </row>
    <row r="221" spans="1:1" x14ac:dyDescent="0.35">
      <c r="A221" t="s">
        <v>222</v>
      </c>
    </row>
    <row r="222" spans="1:1" x14ac:dyDescent="0.35">
      <c r="A222" t="s">
        <v>223</v>
      </c>
    </row>
    <row r="223" spans="1:1" x14ac:dyDescent="0.35">
      <c r="A223" t="s">
        <v>224</v>
      </c>
    </row>
    <row r="224" spans="1:1" x14ac:dyDescent="0.35">
      <c r="A224" t="s">
        <v>225</v>
      </c>
    </row>
    <row r="225" spans="1:1" x14ac:dyDescent="0.35">
      <c r="A225" t="s">
        <v>226</v>
      </c>
    </row>
    <row r="226" spans="1:1" x14ac:dyDescent="0.35">
      <c r="A226" t="s">
        <v>227</v>
      </c>
    </row>
    <row r="227" spans="1:1" x14ac:dyDescent="0.35">
      <c r="A227" t="s">
        <v>228</v>
      </c>
    </row>
    <row r="228" spans="1:1" x14ac:dyDescent="0.35">
      <c r="A228" t="s">
        <v>229</v>
      </c>
    </row>
    <row r="229" spans="1:1" x14ac:dyDescent="0.35">
      <c r="A229" t="s">
        <v>230</v>
      </c>
    </row>
    <row r="230" spans="1:1" x14ac:dyDescent="0.35">
      <c r="A230" t="s">
        <v>231</v>
      </c>
    </row>
    <row r="231" spans="1:1" x14ac:dyDescent="0.35">
      <c r="A231" t="s">
        <v>232</v>
      </c>
    </row>
    <row r="232" spans="1:1" x14ac:dyDescent="0.35">
      <c r="A232" t="s">
        <v>233</v>
      </c>
    </row>
    <row r="233" spans="1:1" x14ac:dyDescent="0.35">
      <c r="A233" t="s">
        <v>234</v>
      </c>
    </row>
    <row r="234" spans="1:1" x14ac:dyDescent="0.35">
      <c r="A234" t="s">
        <v>235</v>
      </c>
    </row>
    <row r="235" spans="1:1" x14ac:dyDescent="0.35">
      <c r="A235" t="s">
        <v>236</v>
      </c>
    </row>
    <row r="236" spans="1:1" x14ac:dyDescent="0.35">
      <c r="A236" t="s">
        <v>237</v>
      </c>
    </row>
    <row r="237" spans="1:1" x14ac:dyDescent="0.35">
      <c r="A237" t="s">
        <v>238</v>
      </c>
    </row>
    <row r="238" spans="1:1" x14ac:dyDescent="0.35">
      <c r="A238" t="s">
        <v>239</v>
      </c>
    </row>
    <row r="239" spans="1:1" x14ac:dyDescent="0.35">
      <c r="A239" t="s">
        <v>240</v>
      </c>
    </row>
    <row r="240" spans="1:1" x14ac:dyDescent="0.35">
      <c r="A240" t="s">
        <v>241</v>
      </c>
    </row>
    <row r="241" spans="1:1" x14ac:dyDescent="0.35">
      <c r="A241" t="s">
        <v>242</v>
      </c>
    </row>
    <row r="242" spans="1:1" x14ac:dyDescent="0.35">
      <c r="A242" t="s">
        <v>243</v>
      </c>
    </row>
    <row r="243" spans="1:1" x14ac:dyDescent="0.35">
      <c r="A243" t="s">
        <v>244</v>
      </c>
    </row>
    <row r="244" spans="1:1" x14ac:dyDescent="0.35">
      <c r="A244" t="s">
        <v>245</v>
      </c>
    </row>
    <row r="245" spans="1:1" x14ac:dyDescent="0.35">
      <c r="A245" t="s">
        <v>246</v>
      </c>
    </row>
    <row r="246" spans="1:1" x14ac:dyDescent="0.35">
      <c r="A246" t="s">
        <v>247</v>
      </c>
    </row>
    <row r="247" spans="1:1" x14ac:dyDescent="0.35">
      <c r="A247" t="s">
        <v>248</v>
      </c>
    </row>
    <row r="248" spans="1:1" x14ac:dyDescent="0.35">
      <c r="A248" t="s">
        <v>249</v>
      </c>
    </row>
    <row r="249" spans="1:1" x14ac:dyDescent="0.35">
      <c r="A249" t="s">
        <v>250</v>
      </c>
    </row>
    <row r="250" spans="1:1" x14ac:dyDescent="0.35">
      <c r="A250" t="s">
        <v>251</v>
      </c>
    </row>
    <row r="251" spans="1:1" x14ac:dyDescent="0.35">
      <c r="A251" t="s">
        <v>252</v>
      </c>
    </row>
    <row r="252" spans="1:1" x14ac:dyDescent="0.35">
      <c r="A252" t="s">
        <v>253</v>
      </c>
    </row>
    <row r="253" spans="1:1" x14ac:dyDescent="0.35">
      <c r="A253" t="s">
        <v>254</v>
      </c>
    </row>
    <row r="254" spans="1:1" x14ac:dyDescent="0.35">
      <c r="A254" t="s">
        <v>255</v>
      </c>
    </row>
    <row r="255" spans="1:1" x14ac:dyDescent="0.35">
      <c r="A255" t="s">
        <v>256</v>
      </c>
    </row>
    <row r="256" spans="1:1" x14ac:dyDescent="0.35">
      <c r="A256" t="s">
        <v>257</v>
      </c>
    </row>
    <row r="257" spans="1:1" x14ac:dyDescent="0.35">
      <c r="A257" t="s">
        <v>258</v>
      </c>
    </row>
    <row r="258" spans="1:1" x14ac:dyDescent="0.35">
      <c r="A258" t="s">
        <v>259</v>
      </c>
    </row>
    <row r="259" spans="1:1" x14ac:dyDescent="0.35">
      <c r="A259" t="s">
        <v>260</v>
      </c>
    </row>
    <row r="260" spans="1:1" x14ac:dyDescent="0.35">
      <c r="A260" t="s">
        <v>261</v>
      </c>
    </row>
    <row r="261" spans="1:1" x14ac:dyDescent="0.35">
      <c r="A261" t="s">
        <v>262</v>
      </c>
    </row>
    <row r="262" spans="1:1" x14ac:dyDescent="0.35">
      <c r="A262" t="s">
        <v>263</v>
      </c>
    </row>
    <row r="263" spans="1:1" x14ac:dyDescent="0.35">
      <c r="A263" t="s">
        <v>264</v>
      </c>
    </row>
    <row r="264" spans="1:1" x14ac:dyDescent="0.35">
      <c r="A264" t="s">
        <v>265</v>
      </c>
    </row>
    <row r="265" spans="1:1" x14ac:dyDescent="0.35">
      <c r="A265" t="s">
        <v>266</v>
      </c>
    </row>
    <row r="266" spans="1:1" x14ac:dyDescent="0.35">
      <c r="A266" t="s">
        <v>267</v>
      </c>
    </row>
    <row r="267" spans="1:1" x14ac:dyDescent="0.35">
      <c r="A267" t="s">
        <v>268</v>
      </c>
    </row>
    <row r="268" spans="1:1" x14ac:dyDescent="0.35">
      <c r="A268" t="s">
        <v>269</v>
      </c>
    </row>
    <row r="269" spans="1:1" x14ac:dyDescent="0.35">
      <c r="A269" t="s">
        <v>270</v>
      </c>
    </row>
    <row r="270" spans="1:1" x14ac:dyDescent="0.35">
      <c r="A270" t="s">
        <v>271</v>
      </c>
    </row>
    <row r="271" spans="1:1" x14ac:dyDescent="0.35">
      <c r="A271" t="s">
        <v>272</v>
      </c>
    </row>
    <row r="272" spans="1:1" x14ac:dyDescent="0.35">
      <c r="A272" t="s">
        <v>273</v>
      </c>
    </row>
    <row r="273" spans="1:1" x14ac:dyDescent="0.35">
      <c r="A273" t="s">
        <v>274</v>
      </c>
    </row>
    <row r="274" spans="1:1" x14ac:dyDescent="0.35">
      <c r="A274" t="s">
        <v>275</v>
      </c>
    </row>
    <row r="275" spans="1:1" x14ac:dyDescent="0.35">
      <c r="A275" t="s">
        <v>276</v>
      </c>
    </row>
    <row r="276" spans="1:1" x14ac:dyDescent="0.35">
      <c r="A276" t="s">
        <v>277</v>
      </c>
    </row>
    <row r="277" spans="1:1" x14ac:dyDescent="0.35">
      <c r="A277" t="s">
        <v>278</v>
      </c>
    </row>
    <row r="278" spans="1:1" x14ac:dyDescent="0.35">
      <c r="A278" t="s">
        <v>279</v>
      </c>
    </row>
    <row r="279" spans="1:1" x14ac:dyDescent="0.35">
      <c r="A279" t="s">
        <v>280</v>
      </c>
    </row>
    <row r="280" spans="1:1" x14ac:dyDescent="0.35">
      <c r="A280" t="s">
        <v>281</v>
      </c>
    </row>
    <row r="281" spans="1:1" x14ac:dyDescent="0.35">
      <c r="A281" t="s">
        <v>282</v>
      </c>
    </row>
    <row r="282" spans="1:1" x14ac:dyDescent="0.35">
      <c r="A282" t="s">
        <v>283</v>
      </c>
    </row>
    <row r="283" spans="1:1" x14ac:dyDescent="0.35">
      <c r="A283" t="s">
        <v>284</v>
      </c>
    </row>
    <row r="284" spans="1:1" x14ac:dyDescent="0.35">
      <c r="A284" t="s">
        <v>285</v>
      </c>
    </row>
    <row r="285" spans="1:1" x14ac:dyDescent="0.35">
      <c r="A285" t="s">
        <v>286</v>
      </c>
    </row>
    <row r="286" spans="1:1" x14ac:dyDescent="0.35">
      <c r="A286" t="s">
        <v>287</v>
      </c>
    </row>
    <row r="287" spans="1:1" x14ac:dyDescent="0.35">
      <c r="A287" t="s">
        <v>288</v>
      </c>
    </row>
    <row r="288" spans="1:1" x14ac:dyDescent="0.35">
      <c r="A288" t="s">
        <v>289</v>
      </c>
    </row>
    <row r="289" spans="1:1" x14ac:dyDescent="0.35">
      <c r="A289" t="s">
        <v>290</v>
      </c>
    </row>
    <row r="290" spans="1:1" x14ac:dyDescent="0.35">
      <c r="A290" t="s">
        <v>291</v>
      </c>
    </row>
    <row r="291" spans="1:1" x14ac:dyDescent="0.35">
      <c r="A291" t="s">
        <v>292</v>
      </c>
    </row>
    <row r="292" spans="1:1" x14ac:dyDescent="0.35">
      <c r="A292" t="s">
        <v>293</v>
      </c>
    </row>
    <row r="293" spans="1:1" x14ac:dyDescent="0.35">
      <c r="A293" t="s">
        <v>294</v>
      </c>
    </row>
    <row r="294" spans="1:1" x14ac:dyDescent="0.35">
      <c r="A294" t="s">
        <v>295</v>
      </c>
    </row>
    <row r="295" spans="1:1" x14ac:dyDescent="0.35">
      <c r="A295" t="s">
        <v>296</v>
      </c>
    </row>
    <row r="296" spans="1:1" x14ac:dyDescent="0.35">
      <c r="A296" t="s">
        <v>297</v>
      </c>
    </row>
    <row r="297" spans="1:1" x14ac:dyDescent="0.35">
      <c r="A297" t="s">
        <v>298</v>
      </c>
    </row>
    <row r="298" spans="1:1" x14ac:dyDescent="0.35">
      <c r="A298" t="s">
        <v>299</v>
      </c>
    </row>
    <row r="299" spans="1:1" x14ac:dyDescent="0.35">
      <c r="A299" t="s">
        <v>300</v>
      </c>
    </row>
    <row r="300" spans="1:1" x14ac:dyDescent="0.35">
      <c r="A300" t="s">
        <v>301</v>
      </c>
    </row>
    <row r="301" spans="1:1" x14ac:dyDescent="0.35">
      <c r="A301" t="s">
        <v>302</v>
      </c>
    </row>
    <row r="302" spans="1:1" x14ac:dyDescent="0.35">
      <c r="A302" t="s">
        <v>303</v>
      </c>
    </row>
    <row r="303" spans="1:1" x14ac:dyDescent="0.35">
      <c r="A303" t="s">
        <v>304</v>
      </c>
    </row>
    <row r="304" spans="1:1" x14ac:dyDescent="0.35">
      <c r="A304" t="s">
        <v>305</v>
      </c>
    </row>
    <row r="305" spans="1:1" x14ac:dyDescent="0.35">
      <c r="A305" t="s">
        <v>306</v>
      </c>
    </row>
    <row r="306" spans="1:1" x14ac:dyDescent="0.35">
      <c r="A306" t="s">
        <v>307</v>
      </c>
    </row>
    <row r="307" spans="1:1" x14ac:dyDescent="0.35">
      <c r="A307" t="s">
        <v>308</v>
      </c>
    </row>
    <row r="308" spans="1:1" x14ac:dyDescent="0.35">
      <c r="A308" t="s">
        <v>309</v>
      </c>
    </row>
    <row r="309" spans="1:1" x14ac:dyDescent="0.35">
      <c r="A309" t="s">
        <v>310</v>
      </c>
    </row>
    <row r="310" spans="1:1" x14ac:dyDescent="0.35">
      <c r="A310" t="s">
        <v>311</v>
      </c>
    </row>
    <row r="311" spans="1:1" x14ac:dyDescent="0.35">
      <c r="A311" t="s">
        <v>312</v>
      </c>
    </row>
    <row r="312" spans="1:1" x14ac:dyDescent="0.35">
      <c r="A312" t="s">
        <v>313</v>
      </c>
    </row>
    <row r="313" spans="1:1" x14ac:dyDescent="0.35">
      <c r="A313" t="s">
        <v>314</v>
      </c>
    </row>
    <row r="314" spans="1:1" x14ac:dyDescent="0.35">
      <c r="A314" t="s">
        <v>315</v>
      </c>
    </row>
    <row r="315" spans="1:1" x14ac:dyDescent="0.35">
      <c r="A315" t="s">
        <v>316</v>
      </c>
    </row>
    <row r="316" spans="1:1" x14ac:dyDescent="0.35">
      <c r="A316" t="s">
        <v>317</v>
      </c>
    </row>
    <row r="317" spans="1:1" x14ac:dyDescent="0.35">
      <c r="A317" t="s">
        <v>318</v>
      </c>
    </row>
    <row r="318" spans="1:1" x14ac:dyDescent="0.35">
      <c r="A318" t="s">
        <v>319</v>
      </c>
    </row>
    <row r="319" spans="1:1" x14ac:dyDescent="0.35">
      <c r="A319" t="s">
        <v>320</v>
      </c>
    </row>
    <row r="320" spans="1:1" x14ac:dyDescent="0.35">
      <c r="A320" t="s">
        <v>321</v>
      </c>
    </row>
    <row r="321" spans="1:1" x14ac:dyDescent="0.35">
      <c r="A321" t="s">
        <v>322</v>
      </c>
    </row>
    <row r="322" spans="1:1" x14ac:dyDescent="0.35">
      <c r="A322" t="s">
        <v>323</v>
      </c>
    </row>
    <row r="323" spans="1:1" x14ac:dyDescent="0.35">
      <c r="A323" t="s">
        <v>324</v>
      </c>
    </row>
    <row r="324" spans="1:1" x14ac:dyDescent="0.35">
      <c r="A324" t="s">
        <v>325</v>
      </c>
    </row>
    <row r="325" spans="1:1" x14ac:dyDescent="0.35">
      <c r="A325" t="s">
        <v>326</v>
      </c>
    </row>
    <row r="326" spans="1:1" x14ac:dyDescent="0.35">
      <c r="A326" t="s">
        <v>327</v>
      </c>
    </row>
    <row r="327" spans="1:1" x14ac:dyDescent="0.35">
      <c r="A327" t="s">
        <v>328</v>
      </c>
    </row>
    <row r="328" spans="1:1" x14ac:dyDescent="0.35">
      <c r="A328" t="s">
        <v>329</v>
      </c>
    </row>
    <row r="329" spans="1:1" x14ac:dyDescent="0.35">
      <c r="A329" t="s">
        <v>330</v>
      </c>
    </row>
    <row r="330" spans="1:1" x14ac:dyDescent="0.35">
      <c r="A330" t="s">
        <v>331</v>
      </c>
    </row>
    <row r="331" spans="1:1" x14ac:dyDescent="0.35">
      <c r="A331" t="s">
        <v>332</v>
      </c>
    </row>
    <row r="332" spans="1:1" x14ac:dyDescent="0.35">
      <c r="A332" t="s">
        <v>333</v>
      </c>
    </row>
    <row r="333" spans="1:1" x14ac:dyDescent="0.35">
      <c r="A333" t="s">
        <v>334</v>
      </c>
    </row>
    <row r="334" spans="1:1" x14ac:dyDescent="0.35">
      <c r="A334" t="s">
        <v>335</v>
      </c>
    </row>
    <row r="335" spans="1:1" x14ac:dyDescent="0.35">
      <c r="A335" t="s">
        <v>336</v>
      </c>
    </row>
    <row r="336" spans="1:1" x14ac:dyDescent="0.35">
      <c r="A336" t="s">
        <v>337</v>
      </c>
    </row>
    <row r="337" spans="1:1" x14ac:dyDescent="0.35">
      <c r="A337" t="s">
        <v>338</v>
      </c>
    </row>
    <row r="338" spans="1:1" x14ac:dyDescent="0.35">
      <c r="A338" t="s">
        <v>339</v>
      </c>
    </row>
    <row r="339" spans="1:1" x14ac:dyDescent="0.35">
      <c r="A339" t="s">
        <v>340</v>
      </c>
    </row>
    <row r="340" spans="1:1" x14ac:dyDescent="0.35">
      <c r="A340" t="s">
        <v>341</v>
      </c>
    </row>
    <row r="341" spans="1:1" x14ac:dyDescent="0.35">
      <c r="A341" t="s">
        <v>342</v>
      </c>
    </row>
    <row r="342" spans="1:1" x14ac:dyDescent="0.35">
      <c r="A342" t="s">
        <v>343</v>
      </c>
    </row>
    <row r="343" spans="1:1" x14ac:dyDescent="0.35">
      <c r="A343" t="s">
        <v>344</v>
      </c>
    </row>
    <row r="344" spans="1:1" x14ac:dyDescent="0.35">
      <c r="A344" t="s">
        <v>345</v>
      </c>
    </row>
    <row r="345" spans="1:1" x14ac:dyDescent="0.35">
      <c r="A345" t="s">
        <v>346</v>
      </c>
    </row>
    <row r="346" spans="1:1" x14ac:dyDescent="0.35">
      <c r="A346" t="s">
        <v>347</v>
      </c>
    </row>
    <row r="347" spans="1:1" x14ac:dyDescent="0.35">
      <c r="A347" t="s">
        <v>348</v>
      </c>
    </row>
    <row r="348" spans="1:1" x14ac:dyDescent="0.35">
      <c r="A348" t="s">
        <v>349</v>
      </c>
    </row>
    <row r="349" spans="1:1" x14ac:dyDescent="0.35">
      <c r="A349" t="s">
        <v>350</v>
      </c>
    </row>
    <row r="350" spans="1:1" x14ac:dyDescent="0.35">
      <c r="A350" t="s">
        <v>351</v>
      </c>
    </row>
    <row r="351" spans="1:1" x14ac:dyDescent="0.35">
      <c r="A351" t="s">
        <v>352</v>
      </c>
    </row>
    <row r="352" spans="1:1" x14ac:dyDescent="0.35">
      <c r="A352" t="s">
        <v>353</v>
      </c>
    </row>
    <row r="353" spans="1:1" x14ac:dyDescent="0.35">
      <c r="A353" t="s">
        <v>354</v>
      </c>
    </row>
    <row r="354" spans="1:1" x14ac:dyDescent="0.35">
      <c r="A354" t="s">
        <v>355</v>
      </c>
    </row>
    <row r="355" spans="1:1" x14ac:dyDescent="0.35">
      <c r="A355" t="s">
        <v>356</v>
      </c>
    </row>
    <row r="356" spans="1:1" x14ac:dyDescent="0.35">
      <c r="A356" t="s">
        <v>357</v>
      </c>
    </row>
    <row r="357" spans="1:1" x14ac:dyDescent="0.35">
      <c r="A357" t="s">
        <v>358</v>
      </c>
    </row>
    <row r="358" spans="1:1" x14ac:dyDescent="0.35">
      <c r="A358" t="s">
        <v>359</v>
      </c>
    </row>
    <row r="359" spans="1:1" x14ac:dyDescent="0.35">
      <c r="A359" t="s">
        <v>360</v>
      </c>
    </row>
    <row r="360" spans="1:1" x14ac:dyDescent="0.35">
      <c r="A360" t="s">
        <v>361</v>
      </c>
    </row>
    <row r="361" spans="1:1" x14ac:dyDescent="0.35">
      <c r="A361" t="s">
        <v>362</v>
      </c>
    </row>
    <row r="362" spans="1:1" x14ac:dyDescent="0.35">
      <c r="A362" t="s">
        <v>363</v>
      </c>
    </row>
    <row r="363" spans="1:1" x14ac:dyDescent="0.35">
      <c r="A363" t="s">
        <v>364</v>
      </c>
    </row>
    <row r="364" spans="1:1" x14ac:dyDescent="0.35">
      <c r="A364" t="s">
        <v>365</v>
      </c>
    </row>
    <row r="365" spans="1:1" x14ac:dyDescent="0.35">
      <c r="A365" t="s">
        <v>366</v>
      </c>
    </row>
    <row r="366" spans="1:1" x14ac:dyDescent="0.35">
      <c r="A366" t="s">
        <v>367</v>
      </c>
    </row>
    <row r="367" spans="1:1" x14ac:dyDescent="0.35">
      <c r="A367" t="s">
        <v>368</v>
      </c>
    </row>
    <row r="368" spans="1:1" x14ac:dyDescent="0.35">
      <c r="A368" t="s">
        <v>369</v>
      </c>
    </row>
    <row r="369" spans="1:1" x14ac:dyDescent="0.35">
      <c r="A369" t="s">
        <v>370</v>
      </c>
    </row>
    <row r="370" spans="1:1" x14ac:dyDescent="0.35">
      <c r="A370" t="s">
        <v>371</v>
      </c>
    </row>
    <row r="371" spans="1:1" x14ac:dyDescent="0.35">
      <c r="A371" t="s">
        <v>372</v>
      </c>
    </row>
    <row r="372" spans="1:1" x14ac:dyDescent="0.35">
      <c r="A372" t="s">
        <v>373</v>
      </c>
    </row>
    <row r="373" spans="1:1" x14ac:dyDescent="0.35">
      <c r="A373" t="s">
        <v>374</v>
      </c>
    </row>
    <row r="374" spans="1:1" x14ac:dyDescent="0.35">
      <c r="A374" t="s">
        <v>375</v>
      </c>
    </row>
    <row r="375" spans="1:1" x14ac:dyDescent="0.35">
      <c r="A375" t="s">
        <v>376</v>
      </c>
    </row>
    <row r="376" spans="1:1" x14ac:dyDescent="0.35">
      <c r="A376" t="s">
        <v>377</v>
      </c>
    </row>
    <row r="377" spans="1:1" x14ac:dyDescent="0.35">
      <c r="A377" t="s">
        <v>378</v>
      </c>
    </row>
    <row r="378" spans="1:1" x14ac:dyDescent="0.35">
      <c r="A378" t="s">
        <v>379</v>
      </c>
    </row>
    <row r="379" spans="1:1" x14ac:dyDescent="0.35">
      <c r="A379" t="s">
        <v>380</v>
      </c>
    </row>
    <row r="380" spans="1:1" x14ac:dyDescent="0.35">
      <c r="A380" t="s">
        <v>381</v>
      </c>
    </row>
    <row r="381" spans="1:1" x14ac:dyDescent="0.35">
      <c r="A381" t="s">
        <v>382</v>
      </c>
    </row>
    <row r="382" spans="1:1" x14ac:dyDescent="0.35">
      <c r="A382" t="s">
        <v>383</v>
      </c>
    </row>
    <row r="383" spans="1:1" x14ac:dyDescent="0.35">
      <c r="A383" t="s">
        <v>384</v>
      </c>
    </row>
    <row r="384" spans="1:1" x14ac:dyDescent="0.35">
      <c r="A384" t="s">
        <v>385</v>
      </c>
    </row>
    <row r="385" spans="1:1" x14ac:dyDescent="0.35">
      <c r="A385" t="s">
        <v>386</v>
      </c>
    </row>
    <row r="386" spans="1:1" x14ac:dyDescent="0.35">
      <c r="A386" t="s">
        <v>387</v>
      </c>
    </row>
    <row r="387" spans="1:1" x14ac:dyDescent="0.35">
      <c r="A387" t="s">
        <v>388</v>
      </c>
    </row>
    <row r="388" spans="1:1" x14ac:dyDescent="0.35">
      <c r="A388" t="s">
        <v>389</v>
      </c>
    </row>
    <row r="389" spans="1:1" x14ac:dyDescent="0.35">
      <c r="A389" t="s">
        <v>390</v>
      </c>
    </row>
    <row r="390" spans="1:1" x14ac:dyDescent="0.35">
      <c r="A390" t="s">
        <v>391</v>
      </c>
    </row>
    <row r="391" spans="1:1" x14ac:dyDescent="0.35">
      <c r="A391" t="s">
        <v>392</v>
      </c>
    </row>
    <row r="392" spans="1:1" x14ac:dyDescent="0.35">
      <c r="A392" t="s">
        <v>393</v>
      </c>
    </row>
    <row r="393" spans="1:1" x14ac:dyDescent="0.35">
      <c r="A393" t="s">
        <v>394</v>
      </c>
    </row>
    <row r="394" spans="1:1" x14ac:dyDescent="0.35">
      <c r="A394" t="s">
        <v>395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/>
  </sheetViews>
  <sheetFormatPr defaultRowHeight="14.5" x14ac:dyDescent="0.35"/>
  <cols>
    <col min="1" max="1" width="48" customWidth="1"/>
    <col min="2" max="2" width="26" customWidth="1"/>
    <col min="3" max="3" width="30" customWidth="1"/>
  </cols>
  <sheetData>
    <row r="1" spans="1:3" x14ac:dyDescent="0.35">
      <c r="A1" s="2" t="s">
        <v>397</v>
      </c>
      <c r="B1" s="2" t="s">
        <v>1300</v>
      </c>
      <c r="C1" s="2" t="s">
        <v>1301</v>
      </c>
    </row>
    <row r="2" spans="1:3" x14ac:dyDescent="0.35">
      <c r="A2" s="1" t="s">
        <v>4</v>
      </c>
      <c r="B2" s="1"/>
      <c r="C2" s="1" t="s">
        <v>1302</v>
      </c>
    </row>
    <row r="3" spans="1:3" x14ac:dyDescent="0.35">
      <c r="A3" s="1" t="s">
        <v>15</v>
      </c>
      <c r="B3" s="1"/>
      <c r="C3" s="1" t="s">
        <v>1302</v>
      </c>
    </row>
    <row r="4" spans="1:3" x14ac:dyDescent="0.35">
      <c r="A4" s="1" t="s">
        <v>20</v>
      </c>
      <c r="B4" s="1"/>
      <c r="C4" s="1" t="s">
        <v>1302</v>
      </c>
    </row>
    <row r="5" spans="1:3" x14ac:dyDescent="0.35">
      <c r="A5" s="1" t="s">
        <v>93</v>
      </c>
      <c r="B5" s="1"/>
      <c r="C5" s="1" t="s">
        <v>1302</v>
      </c>
    </row>
    <row r="6" spans="1:3" x14ac:dyDescent="0.35">
      <c r="A6" s="1" t="s">
        <v>147</v>
      </c>
      <c r="B6" s="1"/>
      <c r="C6" s="1" t="s">
        <v>1302</v>
      </c>
    </row>
    <row r="7" spans="1:3" x14ac:dyDescent="0.35">
      <c r="A7" s="1" t="s">
        <v>186</v>
      </c>
      <c r="B7" s="1"/>
      <c r="C7" s="1" t="s">
        <v>1302</v>
      </c>
    </row>
    <row r="8" spans="1:3" x14ac:dyDescent="0.35">
      <c r="A8" s="1" t="s">
        <v>190</v>
      </c>
      <c r="B8" s="1"/>
      <c r="C8" s="1" t="s">
        <v>1302</v>
      </c>
    </row>
    <row r="9" spans="1:3" x14ac:dyDescent="0.35">
      <c r="A9" s="1" t="s">
        <v>210</v>
      </c>
      <c r="B9" s="1"/>
      <c r="C9" s="1" t="s">
        <v>1302</v>
      </c>
    </row>
    <row r="10" spans="1:3" x14ac:dyDescent="0.35">
      <c r="A10" s="1" t="s">
        <v>218</v>
      </c>
      <c r="B10" s="1" t="s">
        <v>448</v>
      </c>
      <c r="C10" s="1" t="s">
        <v>1303</v>
      </c>
    </row>
    <row r="11" spans="1:3" x14ac:dyDescent="0.35">
      <c r="A11" s="1" t="s">
        <v>227</v>
      </c>
      <c r="B11" s="1"/>
      <c r="C11" s="1" t="s">
        <v>1302</v>
      </c>
    </row>
    <row r="12" spans="1:3" x14ac:dyDescent="0.35">
      <c r="A12" s="1" t="s">
        <v>282</v>
      </c>
      <c r="B12" s="1"/>
      <c r="C12" s="1" t="s">
        <v>1302</v>
      </c>
    </row>
    <row r="13" spans="1:3" x14ac:dyDescent="0.35">
      <c r="A13" s="1" t="s">
        <v>286</v>
      </c>
      <c r="B13" s="1"/>
      <c r="C13" s="1" t="s">
        <v>1302</v>
      </c>
    </row>
    <row r="14" spans="1:3" x14ac:dyDescent="0.35">
      <c r="A14" s="1" t="s">
        <v>321</v>
      </c>
      <c r="B14" s="1"/>
      <c r="C14" s="1" t="s">
        <v>1302</v>
      </c>
    </row>
    <row r="15" spans="1:3" x14ac:dyDescent="0.35">
      <c r="A15" s="1" t="s">
        <v>338</v>
      </c>
      <c r="B15" s="1"/>
      <c r="C15" s="1" t="s">
        <v>1302</v>
      </c>
    </row>
    <row r="16" spans="1:3" x14ac:dyDescent="0.35">
      <c r="A16" s="1" t="s">
        <v>376</v>
      </c>
      <c r="B16" s="1"/>
      <c r="C16" s="1" t="s">
        <v>1302</v>
      </c>
    </row>
    <row r="17" spans="1:3" x14ac:dyDescent="0.35">
      <c r="A17" s="1" t="s">
        <v>385</v>
      </c>
      <c r="B17" s="1" t="s">
        <v>722</v>
      </c>
      <c r="C17" s="1" t="s">
        <v>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Income_Clean</vt:lpstr>
      <vt:lpstr>Metro_Crosswalk</vt:lpstr>
      <vt:lpstr>Census_Metro_List</vt:lpstr>
      <vt:lpstr>Census_Unmatched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 Shoff</cp:lastModifiedBy>
  <dcterms:created xsi:type="dcterms:W3CDTF">2026-10-07T00:17:11Z</dcterms:created>
  <dcterms:modified xsi:type="dcterms:W3CDTF">2026-10-07T00:17:12Z</dcterms:modified>
</cp:coreProperties>
</file>